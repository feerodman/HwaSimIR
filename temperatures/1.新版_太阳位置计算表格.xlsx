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浏览器下载\"/>
    </mc:Choice>
  </mc:AlternateContent>
  <xr:revisionPtr revIDLastSave="0" documentId="13_ncr:1_{E76DBB4B-0C14-4543-9EAC-43D8AD523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【表1-使用说明】必读！" sheetId="1" r:id="rId1"/>
    <sheet name="【表2】太阳位置计算器" sheetId="2" r:id="rId2"/>
    <sheet name="【表3】处理过程壹" sheetId="3" r:id="rId3"/>
    <sheet name="【表4】处理过程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H4" i="4" l="1"/>
  <c r="F3" i="4"/>
  <c r="F4" i="4" s="1"/>
  <c r="D3" i="4"/>
  <c r="E56" i="3"/>
  <c r="D56" i="3" s="1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G5" i="3"/>
  <c r="I5" i="3" s="1"/>
  <c r="E5" i="3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G4" i="3"/>
  <c r="B4" i="4" s="1"/>
  <c r="E4" i="3"/>
  <c r="G3" i="3"/>
  <c r="I3" i="3" s="1"/>
  <c r="K3" i="3" s="1"/>
  <c r="K4" i="3" s="1"/>
  <c r="E3" i="3"/>
  <c r="Q8" i="3" l="1"/>
  <c r="Q10" i="3" s="1"/>
  <c r="D18" i="2" s="1"/>
  <c r="D4" i="4"/>
  <c r="M8" i="3"/>
  <c r="M3" i="3"/>
  <c r="M4" i="3" s="1"/>
  <c r="F29" i="2"/>
  <c r="K5" i="3"/>
  <c r="I4" i="3"/>
  <c r="D16" i="2" l="1"/>
  <c r="N9" i="3"/>
  <c r="O9" i="3" s="1"/>
  <c r="P9" i="3" s="1"/>
  <c r="B17" i="2" s="1"/>
  <c r="B5" i="4"/>
  <c r="D5" i="4" s="1"/>
  <c r="F5" i="4" s="1"/>
  <c r="F56" i="3"/>
  <c r="G56" i="3"/>
  <c r="M10" i="3"/>
  <c r="N8" i="3"/>
  <c r="O8" i="3" s="1"/>
  <c r="Q9" i="3"/>
  <c r="D17" i="2" s="1"/>
  <c r="C15" i="2"/>
  <c r="F30" i="2"/>
  <c r="F55" i="3"/>
  <c r="F53" i="3"/>
  <c r="F51" i="3"/>
  <c r="F49" i="3"/>
  <c r="F47" i="3"/>
  <c r="F45" i="3"/>
  <c r="F43" i="3"/>
  <c r="F41" i="3"/>
  <c r="F39" i="3"/>
  <c r="F37" i="3"/>
  <c r="F35" i="3"/>
  <c r="F33" i="3"/>
  <c r="F31" i="3"/>
  <c r="F29" i="3"/>
  <c r="F27" i="3"/>
  <c r="F25" i="3"/>
  <c r="F23" i="3"/>
  <c r="F21" i="3"/>
  <c r="F19" i="3"/>
  <c r="F17" i="3"/>
  <c r="F15" i="3"/>
  <c r="F13" i="3"/>
  <c r="F11" i="3"/>
  <c r="F9" i="3"/>
  <c r="F52" i="3"/>
  <c r="G51" i="3"/>
  <c r="G50" i="3"/>
  <c r="F44" i="3"/>
  <c r="G43" i="3"/>
  <c r="G42" i="3"/>
  <c r="F36" i="3"/>
  <c r="G35" i="3"/>
  <c r="G34" i="3"/>
  <c r="F28" i="3"/>
  <c r="G27" i="3"/>
  <c r="G26" i="3"/>
  <c r="F20" i="3"/>
  <c r="G19" i="3"/>
  <c r="G18" i="3"/>
  <c r="F12" i="3"/>
  <c r="G11" i="3"/>
  <c r="G10" i="3"/>
  <c r="F50" i="3"/>
  <c r="H50" i="3" s="1"/>
  <c r="G49" i="3"/>
  <c r="G48" i="3"/>
  <c r="F42" i="3"/>
  <c r="H42" i="3" s="1"/>
  <c r="G41" i="3"/>
  <c r="G40" i="3"/>
  <c r="F34" i="3"/>
  <c r="H34" i="3" s="1"/>
  <c r="G33" i="3"/>
  <c r="G32" i="3"/>
  <c r="F26" i="3"/>
  <c r="H26" i="3" s="1"/>
  <c r="G25" i="3"/>
  <c r="G24" i="3"/>
  <c r="F18" i="3"/>
  <c r="H18" i="3" s="1"/>
  <c r="G17" i="3"/>
  <c r="G16" i="3"/>
  <c r="F10" i="3"/>
  <c r="H10" i="3" s="1"/>
  <c r="G9" i="3"/>
  <c r="G8" i="3"/>
  <c r="G55" i="3"/>
  <c r="G54" i="3"/>
  <c r="F48" i="3"/>
  <c r="G47" i="3"/>
  <c r="G46" i="3"/>
  <c r="F40" i="3"/>
  <c r="G39" i="3"/>
  <c r="G38" i="3"/>
  <c r="F32" i="3"/>
  <c r="G31" i="3"/>
  <c r="G30" i="3"/>
  <c r="F24" i="3"/>
  <c r="G23" i="3"/>
  <c r="G22" i="3"/>
  <c r="F16" i="3"/>
  <c r="G15" i="3"/>
  <c r="G14" i="3"/>
  <c r="F8" i="3"/>
  <c r="F54" i="3"/>
  <c r="G53" i="3"/>
  <c r="G52" i="3"/>
  <c r="F46" i="3"/>
  <c r="G45" i="3"/>
  <c r="G37" i="3"/>
  <c r="F22" i="3"/>
  <c r="G20" i="3"/>
  <c r="F30" i="3"/>
  <c r="H30" i="3" s="1"/>
  <c r="G28" i="3"/>
  <c r="G13" i="3"/>
  <c r="F38" i="3"/>
  <c r="G36" i="3"/>
  <c r="G21" i="3"/>
  <c r="G44" i="3"/>
  <c r="G29" i="3"/>
  <c r="F14" i="3"/>
  <c r="G12" i="3"/>
  <c r="H15" i="3" l="1"/>
  <c r="F6" i="4"/>
  <c r="H32" i="3"/>
  <c r="I32" i="3" s="1"/>
  <c r="H39" i="3"/>
  <c r="J39" i="3" s="1"/>
  <c r="H56" i="3"/>
  <c r="J56" i="3" s="1"/>
  <c r="C25" i="2" s="1"/>
  <c r="B20" i="2"/>
  <c r="H6" i="4"/>
  <c r="D20" i="2" s="1"/>
  <c r="P8" i="3"/>
  <c r="B16" i="2" s="1"/>
  <c r="H47" i="3"/>
  <c r="J47" i="3" s="1"/>
  <c r="H38" i="3"/>
  <c r="I38" i="3" s="1"/>
  <c r="H46" i="3"/>
  <c r="I46" i="3" s="1"/>
  <c r="H40" i="3"/>
  <c r="J40" i="3" s="1"/>
  <c r="H28" i="3"/>
  <c r="I28" i="3" s="1"/>
  <c r="H13" i="3"/>
  <c r="I13" i="3" s="1"/>
  <c r="H21" i="3"/>
  <c r="I21" i="3" s="1"/>
  <c r="H37" i="3"/>
  <c r="I37" i="3" s="1"/>
  <c r="H45" i="3"/>
  <c r="I45" i="3" s="1"/>
  <c r="H53" i="3"/>
  <c r="J53" i="3" s="1"/>
  <c r="H41" i="3"/>
  <c r="I41" i="3" s="1"/>
  <c r="H29" i="3"/>
  <c r="J29" i="3" s="1"/>
  <c r="H22" i="3"/>
  <c r="J22" i="3" s="1"/>
  <c r="H20" i="3"/>
  <c r="I20" i="3" s="1"/>
  <c r="H52" i="3"/>
  <c r="J52" i="3" s="1"/>
  <c r="H23" i="3"/>
  <c r="J23" i="3" s="1"/>
  <c r="H31" i="3"/>
  <c r="J31" i="3" s="1"/>
  <c r="H55" i="3"/>
  <c r="I55" i="3" s="1"/>
  <c r="H24" i="3"/>
  <c r="I24" i="3" s="1"/>
  <c r="H12" i="3"/>
  <c r="J12" i="3" s="1"/>
  <c r="H44" i="3"/>
  <c r="J44" i="3" s="1"/>
  <c r="H17" i="3"/>
  <c r="J17" i="3" s="1"/>
  <c r="H25" i="3"/>
  <c r="J25" i="3" s="1"/>
  <c r="H33" i="3"/>
  <c r="I33" i="3" s="1"/>
  <c r="G28" i="2" s="1"/>
  <c r="I28" i="2" s="1"/>
  <c r="H49" i="3"/>
  <c r="I49" i="3" s="1"/>
  <c r="M11" i="3"/>
  <c r="P11" i="3" s="1"/>
  <c r="C19" i="2" s="1"/>
  <c r="N10" i="3"/>
  <c r="O10" i="3" s="1"/>
  <c r="H14" i="3"/>
  <c r="I14" i="3" s="1"/>
  <c r="H54" i="3"/>
  <c r="J54" i="3" s="1"/>
  <c r="H26" i="2" s="1"/>
  <c r="H16" i="3"/>
  <c r="I16" i="3" s="1"/>
  <c r="H48" i="3"/>
  <c r="I48" i="3" s="1"/>
  <c r="G23" i="2" s="1"/>
  <c r="I23" i="2" s="1"/>
  <c r="H36" i="3"/>
  <c r="I36" i="3" s="1"/>
  <c r="H11" i="3"/>
  <c r="I11" i="3" s="1"/>
  <c r="H19" i="3"/>
  <c r="I19" i="3" s="1"/>
  <c r="H27" i="3"/>
  <c r="I27" i="3" s="1"/>
  <c r="H35" i="3"/>
  <c r="I35" i="3" s="1"/>
  <c r="H43" i="3"/>
  <c r="I43" i="3" s="1"/>
  <c r="H51" i="3"/>
  <c r="I51" i="3" s="1"/>
  <c r="F31" i="2"/>
  <c r="G30" i="2"/>
  <c r="I30" i="2" s="1"/>
  <c r="H8" i="3"/>
  <c r="J10" i="3"/>
  <c r="I10" i="3"/>
  <c r="J15" i="3"/>
  <c r="I15" i="3"/>
  <c r="I42" i="3"/>
  <c r="J42" i="3"/>
  <c r="I34" i="3"/>
  <c r="J34" i="3"/>
  <c r="J26" i="3"/>
  <c r="I26" i="3"/>
  <c r="H9" i="3"/>
  <c r="I30" i="3"/>
  <c r="J30" i="3"/>
  <c r="J18" i="3"/>
  <c r="I18" i="3"/>
  <c r="J50" i="3"/>
  <c r="I50" i="3"/>
  <c r="E10" i="4" l="1"/>
  <c r="E9" i="4"/>
  <c r="I39" i="3"/>
  <c r="G8" i="2"/>
  <c r="I8" i="2" s="1"/>
  <c r="J32" i="3"/>
  <c r="H27" i="2" s="1"/>
  <c r="G6" i="2"/>
  <c r="I6" i="2" s="1"/>
  <c r="H12" i="2"/>
  <c r="H24" i="2"/>
  <c r="H29" i="2"/>
  <c r="G15" i="2"/>
  <c r="I15" i="2" s="1"/>
  <c r="G27" i="2"/>
  <c r="I27" i="2" s="1"/>
  <c r="H25" i="2"/>
  <c r="G22" i="2"/>
  <c r="I22" i="2" s="1"/>
  <c r="G16" i="2"/>
  <c r="I16" i="2" s="1"/>
  <c r="G29" i="2"/>
  <c r="I29" i="2" s="1"/>
  <c r="G9" i="2"/>
  <c r="I9" i="2" s="1"/>
  <c r="H20" i="2"/>
  <c r="J13" i="3"/>
  <c r="H21" i="2"/>
  <c r="H10" i="2"/>
  <c r="G13" i="2"/>
  <c r="I13" i="2" s="1"/>
  <c r="I56" i="3"/>
  <c r="B25" i="2" s="1"/>
  <c r="D25" i="2" s="1"/>
  <c r="I53" i="3"/>
  <c r="J46" i="3"/>
  <c r="I47" i="3"/>
  <c r="J28" i="3"/>
  <c r="J38" i="3"/>
  <c r="H18" i="2" s="1"/>
  <c r="P10" i="3"/>
  <c r="B18" i="2" s="1"/>
  <c r="J55" i="3"/>
  <c r="J41" i="3"/>
  <c r="J21" i="3"/>
  <c r="H16" i="2" s="1"/>
  <c r="J20" i="3"/>
  <c r="J51" i="3"/>
  <c r="I40" i="3"/>
  <c r="G19" i="2" s="1"/>
  <c r="I19" i="2" s="1"/>
  <c r="J19" i="3"/>
  <c r="H14" i="2" s="1"/>
  <c r="I17" i="3"/>
  <c r="I12" i="3"/>
  <c r="G5" i="2" s="1"/>
  <c r="I5" i="2" s="1"/>
  <c r="I29" i="3"/>
  <c r="G24" i="2" s="1"/>
  <c r="I24" i="2" s="1"/>
  <c r="I23" i="3"/>
  <c r="G18" i="2" s="1"/>
  <c r="I18" i="2" s="1"/>
  <c r="J45" i="3"/>
  <c r="J14" i="3"/>
  <c r="J37" i="3"/>
  <c r="J36" i="3"/>
  <c r="H17" i="2" s="1"/>
  <c r="J43" i="3"/>
  <c r="J11" i="3"/>
  <c r="I54" i="3"/>
  <c r="I22" i="3"/>
  <c r="G10" i="2" s="1"/>
  <c r="I10" i="2" s="1"/>
  <c r="I44" i="3"/>
  <c r="G21" i="2" s="1"/>
  <c r="I21" i="2" s="1"/>
  <c r="J35" i="3"/>
  <c r="H30" i="2" s="1"/>
  <c r="I31" i="3"/>
  <c r="J33" i="3"/>
  <c r="H28" i="2" s="1"/>
  <c r="J49" i="3"/>
  <c r="J16" i="3"/>
  <c r="I25" i="3"/>
  <c r="G20" i="2" s="1"/>
  <c r="I20" i="2" s="1"/>
  <c r="I52" i="3"/>
  <c r="G25" i="2" s="1"/>
  <c r="I25" i="2" s="1"/>
  <c r="J48" i="3"/>
  <c r="J27" i="3"/>
  <c r="J24" i="3"/>
  <c r="H19" i="2" s="1"/>
  <c r="F32" i="2"/>
  <c r="G31" i="2"/>
  <c r="I31" i="2" s="1"/>
  <c r="I9" i="3"/>
  <c r="G4" i="2" s="1"/>
  <c r="I4" i="2" s="1"/>
  <c r="J9" i="3"/>
  <c r="H4" i="2" s="1"/>
  <c r="J8" i="3"/>
  <c r="H3" i="2" s="1"/>
  <c r="I8" i="3"/>
  <c r="G3" i="2" s="1"/>
  <c r="I3" i="2" s="1"/>
  <c r="H13" i="2" l="1"/>
  <c r="G12" i="2"/>
  <c r="I12" i="2" s="1"/>
  <c r="G14" i="2"/>
  <c r="I14" i="2" s="1"/>
  <c r="H7" i="2"/>
  <c r="G11" i="2"/>
  <c r="I11" i="2" s="1"/>
  <c r="H8" i="2"/>
  <c r="H5" i="2"/>
  <c r="H23" i="2"/>
  <c r="H31" i="2"/>
  <c r="H6" i="2"/>
  <c r="H9" i="2"/>
  <c r="H22" i="2"/>
  <c r="G7" i="2"/>
  <c r="I7" i="2" s="1"/>
  <c r="H11" i="2"/>
  <c r="G26" i="2"/>
  <c r="I26" i="2" s="1"/>
  <c r="H15" i="2"/>
  <c r="G17" i="2"/>
  <c r="I17" i="2" s="1"/>
  <c r="F33" i="2"/>
  <c r="G32" i="2"/>
  <c r="I32" i="2" s="1"/>
  <c r="H32" i="2"/>
  <c r="F34" i="2" l="1"/>
  <c r="G33" i="2"/>
  <c r="I33" i="2" s="1"/>
  <c r="H33" i="2"/>
  <c r="F35" i="2" l="1"/>
  <c r="H34" i="2"/>
  <c r="G34" i="2"/>
  <c r="I34" i="2" s="1"/>
  <c r="F36" i="2" l="1"/>
  <c r="H35" i="2"/>
  <c r="G35" i="2"/>
  <c r="I35" i="2" s="1"/>
  <c r="F37" i="2" l="1"/>
  <c r="H36" i="2"/>
  <c r="G36" i="2"/>
  <c r="I36" i="2" s="1"/>
  <c r="F38" i="2" l="1"/>
  <c r="H37" i="2"/>
  <c r="G37" i="2"/>
  <c r="I37" i="2" s="1"/>
  <c r="F39" i="2" l="1"/>
  <c r="H38" i="2"/>
  <c r="G38" i="2"/>
  <c r="I38" i="2" s="1"/>
  <c r="F40" i="2" l="1"/>
  <c r="H39" i="2"/>
  <c r="G39" i="2"/>
  <c r="I39" i="2" s="1"/>
  <c r="F41" i="2" l="1"/>
  <c r="H40" i="2"/>
  <c r="G40" i="2"/>
  <c r="I40" i="2" s="1"/>
  <c r="F42" i="2" l="1"/>
  <c r="G41" i="2"/>
  <c r="I41" i="2" s="1"/>
  <c r="H41" i="2"/>
  <c r="F43" i="2" l="1"/>
  <c r="G42" i="2"/>
  <c r="I42" i="2" s="1"/>
  <c r="H42" i="2"/>
  <c r="F44" i="2" l="1"/>
  <c r="G43" i="2"/>
  <c r="I43" i="2" s="1"/>
  <c r="H43" i="2"/>
  <c r="F45" i="2" l="1"/>
  <c r="G44" i="2"/>
  <c r="I44" i="2" s="1"/>
  <c r="H44" i="2"/>
  <c r="F46" i="2" l="1"/>
  <c r="G45" i="2"/>
  <c r="I45" i="2" s="1"/>
  <c r="H45" i="2"/>
  <c r="F47" i="2" l="1"/>
  <c r="H46" i="2"/>
  <c r="G46" i="2"/>
  <c r="I46" i="2" s="1"/>
  <c r="F48" i="2" l="1"/>
  <c r="G47" i="2"/>
  <c r="I47" i="2" s="1"/>
  <c r="H47" i="2"/>
  <c r="F49" i="2" l="1"/>
  <c r="G48" i="2"/>
  <c r="I48" i="2" s="1"/>
  <c r="H48" i="2"/>
  <c r="F50" i="2" l="1"/>
  <c r="G49" i="2"/>
  <c r="I49" i="2" s="1"/>
  <c r="H49" i="2"/>
  <c r="H50" i="2" l="1"/>
  <c r="G50" i="2"/>
  <c r="I50" i="2" s="1"/>
</calcChain>
</file>

<file path=xl/sharedStrings.xml><?xml version="1.0" encoding="utf-8"?>
<sst xmlns="http://schemas.openxmlformats.org/spreadsheetml/2006/main" count="153" uniqueCount="141">
  <si>
    <t>基本设置</t>
  </si>
  <si>
    <t>标准
时间</t>
  </si>
  <si>
    <t>太阳
方位角</t>
  </si>
  <si>
    <t>太阳
高度角</t>
  </si>
  <si>
    <t>标准时间时区</t>
  </si>
  <si>
    <t>UTC+8(北京时间)</t>
  </si>
  <si>
    <t>0:00</t>
  </si>
  <si>
    <t>时间基准</t>
  </si>
  <si>
    <t>真太阳时</t>
  </si>
  <si>
    <t>时间序列间隔</t>
  </si>
  <si>
    <t>30分钟</t>
  </si>
  <si>
    <t>参数设定</t>
  </si>
  <si>
    <t>日期</t>
  </si>
  <si>
    <t>观测点经度</t>
  </si>
  <si>
    <t>观测点纬度</t>
  </si>
  <si>
    <t>太阳赤纬角</t>
  </si>
  <si>
    <t>日出时间</t>
  </si>
  <si>
    <t>日出方位</t>
  </si>
  <si>
    <t>日中时间</t>
  </si>
  <si>
    <t>中天高度</t>
  </si>
  <si>
    <t>日落时间</t>
  </si>
  <si>
    <t>日落方位</t>
  </si>
  <si>
    <t>昼长</t>
  </si>
  <si>
    <t>正午月龄</t>
  </si>
  <si>
    <t>月相</t>
  </si>
  <si>
    <t>【处理过程，此表勿修改】</t>
  </si>
  <si>
    <t>知乎/焚躯以火；公众号/云开天明</t>
  </si>
  <si>
    <t>标准时区时间</t>
  </si>
  <si>
    <t>中央经度</t>
  </si>
  <si>
    <t>该年第几天</t>
  </si>
  <si>
    <t>日角(rad)</t>
  </si>
  <si>
    <t>ET参数B</t>
  </si>
  <si>
    <t>时区</t>
  </si>
  <si>
    <t>经度</t>
  </si>
  <si>
    <t>地理时差(h)</t>
  </si>
  <si>
    <t>日赤纬角(rad)</t>
  </si>
  <si>
    <t>均时差ET(min)</t>
  </si>
  <si>
    <t>UTC+12</t>
  </si>
  <si>
    <t>时间间隔</t>
  </si>
  <si>
    <t>纬度</t>
  </si>
  <si>
    <t>纬度(rad)</t>
  </si>
  <si>
    <t>日赤纬角(度)</t>
  </si>
  <si>
    <t>UTC+11</t>
  </si>
  <si>
    <t>UTC+10</t>
  </si>
  <si>
    <t>当地
平太阳时</t>
  </si>
  <si>
    <t>当地
真太阳时</t>
  </si>
  <si>
    <t>时角
变化量</t>
  </si>
  <si>
    <t>UTC+9</t>
  </si>
  <si>
    <t>UTC+7</t>
  </si>
  <si>
    <t>UTC+6</t>
  </si>
  <si>
    <t>UTC+5</t>
  </si>
  <si>
    <t>UTC+4</t>
  </si>
  <si>
    <t>UTC+3</t>
  </si>
  <si>
    <t>UTC+2</t>
  </si>
  <si>
    <t>UTC+1</t>
  </si>
  <si>
    <t>UTC+0</t>
  </si>
  <si>
    <t>UTC-1</t>
  </si>
  <si>
    <t>UTC-2</t>
  </si>
  <si>
    <t>UTC-3</t>
  </si>
  <si>
    <t>UTC-4</t>
  </si>
  <si>
    <t>UTC-5</t>
  </si>
  <si>
    <t>UTC-6</t>
  </si>
  <si>
    <t>UTC-7</t>
  </si>
  <si>
    <t>UTC-8</t>
  </si>
  <si>
    <t>UTC-9</t>
  </si>
  <si>
    <t>UTC-10</t>
  </si>
  <si>
    <t>UTC-11</t>
  </si>
  <si>
    <t>平太阳时(推荐)</t>
  </si>
  <si>
    <t>1小时</t>
  </si>
  <si>
    <t>2小时</t>
  </si>
  <si>
    <t>日出</t>
    <phoneticPr fontId="7" type="noConversion"/>
  </si>
  <si>
    <t>日中</t>
    <phoneticPr fontId="7" type="noConversion"/>
  </si>
  <si>
    <t>日落</t>
    <phoneticPr fontId="7" type="noConversion"/>
  </si>
  <si>
    <t>计算单时刻太阳位置</t>
    <phoneticPr fontId="7" type="noConversion"/>
  </si>
  <si>
    <t>标准时间</t>
    <phoneticPr fontId="7" type="noConversion"/>
  </si>
  <si>
    <t>太阳方位</t>
    <phoneticPr fontId="7" type="noConversion"/>
  </si>
  <si>
    <t>太阳高度</t>
    <phoneticPr fontId="7" type="noConversion"/>
  </si>
  <si>
    <t>当地真
太阳时</t>
    <phoneticPr fontId="7" type="noConversion"/>
  </si>
  <si>
    <t>标准时
间转换</t>
    <phoneticPr fontId="7" type="noConversion"/>
  </si>
  <si>
    <t>标准时间
(平)</t>
    <phoneticPr fontId="7" type="noConversion"/>
  </si>
  <si>
    <t>标准真
太阳时</t>
    <phoneticPr fontId="7" type="noConversion"/>
  </si>
  <si>
    <t>标准平
太阳时</t>
    <phoneticPr fontId="7" type="noConversion"/>
  </si>
  <si>
    <t>根据时间基准
转换格式</t>
    <phoneticPr fontId="7" type="noConversion"/>
  </si>
  <si>
    <t>方位或
高度</t>
    <phoneticPr fontId="7" type="noConversion"/>
  </si>
  <si>
    <t>注：仅需填写标准时间，其它会自动计算</t>
    <phoneticPr fontId="7" type="noConversion"/>
  </si>
  <si>
    <t>昼长</t>
    <phoneticPr fontId="7" type="noConversion"/>
  </si>
  <si>
    <t>获取日期</t>
    <phoneticPr fontId="7" type="noConversion"/>
  </si>
  <si>
    <t>年(Y)</t>
    <phoneticPr fontId="7" type="noConversion"/>
  </si>
  <si>
    <t>月(M)</t>
    <phoneticPr fontId="7" type="noConversion"/>
  </si>
  <si>
    <t>日(D)</t>
    <phoneticPr fontId="7" type="noConversion"/>
  </si>
  <si>
    <t>年'(Y')</t>
    <phoneticPr fontId="7" type="noConversion"/>
  </si>
  <si>
    <t>月'(M')</t>
    <phoneticPr fontId="7" type="noConversion"/>
  </si>
  <si>
    <t>参数A</t>
    <phoneticPr fontId="7" type="noConversion"/>
  </si>
  <si>
    <t>正午儒略日JD</t>
    <phoneticPr fontId="7" type="noConversion"/>
  </si>
  <si>
    <t>参数B</t>
    <phoneticPr fontId="7" type="noConversion"/>
  </si>
  <si>
    <t>参考日(2000/1/6)JD</t>
    <phoneticPr fontId="7" type="noConversion"/>
  </si>
  <si>
    <t>朔望月长度</t>
    <phoneticPr fontId="7" type="noConversion"/>
  </si>
  <si>
    <t>月龄</t>
    <phoneticPr fontId="7" type="noConversion"/>
  </si>
  <si>
    <t>新月</t>
    <phoneticPr fontId="7" type="noConversion"/>
  </si>
  <si>
    <t>上弦月</t>
  </si>
  <si>
    <t>盈凸月</t>
  </si>
  <si>
    <t>满月</t>
  </si>
  <si>
    <t>亏凸月</t>
  </si>
  <si>
    <t>下弦月</t>
  </si>
  <si>
    <t>残月</t>
  </si>
  <si>
    <t>晦月</t>
    <phoneticPr fontId="7" type="noConversion"/>
  </si>
  <si>
    <t>月龄和月相</t>
    <phoneticPr fontId="7" type="noConversion"/>
  </si>
  <si>
    <t>月相</t>
    <phoneticPr fontId="7" type="noConversion"/>
  </si>
  <si>
    <t>表格使用说明</t>
  </si>
  <si>
    <t>名词解释：</t>
    <phoneticPr fontId="7" type="noConversion"/>
  </si>
  <si>
    <t>4.角度的单位为°.</t>
  </si>
  <si>
    <t>打开工作表2“太阳位置计算器”，如右图。</t>
    <phoneticPr fontId="7" type="noConversion"/>
  </si>
  <si>
    <t>月出时间</t>
    <phoneticPr fontId="7" type="noConversion"/>
  </si>
  <si>
    <t>月落时间</t>
    <phoneticPr fontId="7" type="noConversion"/>
  </si>
  <si>
    <t>蛾眉月</t>
    <phoneticPr fontId="7" type="noConversion"/>
  </si>
  <si>
    <t>月出月落时间(估算)</t>
    <phoneticPr fontId="7" type="noConversion"/>
  </si>
  <si>
    <t>【表4】处理过程贰：月相计算</t>
    <phoneticPr fontId="7" type="noConversion"/>
  </si>
  <si>
    <t>【表3】处理过程壹：太阳角度计算</t>
    <phoneticPr fontId="7" type="noConversion"/>
  </si>
  <si>
    <t>结果输出</t>
    <phoneticPr fontId="7" type="noConversion"/>
  </si>
  <si>
    <t>工作表分为五个区域：基本设置区、参数设定区、结果输出区、单时刻太阳位置计算、当日时间序列。</t>
    <phoneticPr fontId="7" type="noConversion"/>
  </si>
  <si>
    <r>
      <t>填写</t>
    </r>
    <r>
      <rPr>
        <b/>
        <sz val="14"/>
        <color theme="1"/>
        <rFont val="宋体"/>
        <family val="3"/>
        <charset val="134"/>
        <scheme val="minor"/>
      </rPr>
      <t>基本设置</t>
    </r>
    <r>
      <rPr>
        <sz val="14"/>
        <color theme="1"/>
        <rFont val="宋体"/>
        <family val="3"/>
        <charset val="134"/>
        <scheme val="minor"/>
      </rPr>
      <t>和</t>
    </r>
    <r>
      <rPr>
        <b/>
        <sz val="14"/>
        <color theme="1"/>
        <rFont val="宋体"/>
        <family val="3"/>
        <charset val="134"/>
        <scheme val="minor"/>
      </rPr>
      <t>参数设定</t>
    </r>
    <r>
      <rPr>
        <sz val="14"/>
        <color theme="1"/>
        <rFont val="宋体"/>
        <family val="3"/>
        <charset val="134"/>
        <scheme val="minor"/>
      </rPr>
      <t>的六个参数，填完后，表格会自动计算太阳赤纬角、日出日落时间、月龄月相、各个时刻的太阳高度角、太阳方位角等数据。</t>
    </r>
    <phoneticPr fontId="7" type="noConversion"/>
  </si>
  <si>
    <t>注：只是估算，误差可达1h+，高精度计算非常复杂，建议使用Star Walk等网站查找准确数据</t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</si>
  <si>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太阳赤纬角</t>
    </r>
    <r>
      <rPr>
        <sz val="14"/>
        <color theme="1"/>
        <rFont val="宋体"/>
        <family val="3"/>
        <charset val="134"/>
        <scheme val="minor"/>
      </rPr>
      <t>：太阳入射光与地球赤道之间的角度</t>
    </r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</si>
  <si>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太阳方位角</t>
    </r>
    <r>
      <rPr>
        <sz val="14"/>
        <color theme="1"/>
        <rFont val="宋体"/>
        <family val="3"/>
        <charset val="134"/>
        <scheme val="minor"/>
      </rPr>
      <t>：太阳相对于正北方向的顺时针转过的角度，正北=0°，正东=90°，正南=180°,正西=270°.</t>
    </r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</si>
  <si>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太阳高度角</t>
    </r>
    <r>
      <rPr>
        <sz val="14"/>
        <color theme="1"/>
        <rFont val="宋体"/>
        <family val="3"/>
        <charset val="134"/>
        <scheme val="minor"/>
      </rPr>
      <t>：太阳入射光和地面的夹角。</t>
    </r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</si>
  <si>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时间基准</t>
    </r>
    <r>
      <rPr>
        <sz val="14"/>
        <color theme="1"/>
        <rFont val="宋体"/>
        <family val="3"/>
        <charset val="134"/>
        <scheme val="minor"/>
      </rPr>
      <t>：两个选项分别为</t>
    </r>
    <r>
      <rPr>
        <b/>
        <sz val="14"/>
        <color theme="1"/>
        <rFont val="宋体"/>
        <family val="3"/>
        <charset val="134"/>
        <scheme val="minor"/>
      </rPr>
      <t>平太阳时/真太阳时</t>
    </r>
    <r>
      <rPr>
        <sz val="14"/>
        <color theme="1"/>
        <rFont val="宋体"/>
        <family val="3"/>
        <charset val="134"/>
        <scheme val="minor"/>
      </rPr>
      <t>。平太阳时是你手机、手表显示的标准时间；真太阳时反映了太阳的真实位置，默认正午时刻为当地时间12时整。我们日常使用的是平太阳时，所以默认设定为平太阳时。</t>
    </r>
    <phoneticPr fontId="7" type="noConversion"/>
  </si>
  <si>
    <t>获取经度</t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</si>
  <si>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月龄</t>
    </r>
    <r>
      <rPr>
        <sz val="14"/>
        <color theme="1"/>
        <rFont val="宋体"/>
        <family val="3"/>
        <charset val="134"/>
        <scheme val="minor"/>
      </rPr>
      <t>：从新月时刻开始，到达观测时刻所经历的天数。本表格中月龄的计算选用的是当地时间正午12:00.</t>
    </r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</si>
  <si>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月相</t>
    </r>
    <r>
      <rPr>
        <sz val="14"/>
        <color theme="1"/>
        <rFont val="宋体"/>
        <family val="3"/>
        <charset val="134"/>
        <scheme val="minor"/>
      </rPr>
      <t>：在地球上看月球，月球被太阳照明的部分，呈周期性的变化，一个周期为29.53天。本表格将月相分为9种：新月、娥眉月、上弦月、盈凸月、满月、亏凸月、下弦月、残月、晦月。</t>
    </r>
    <phoneticPr fontId="7" type="noConversion"/>
  </si>
  <si>
    <t>注意：</t>
    <phoneticPr fontId="7" type="noConversion"/>
  </si>
  <si>
    <t>1.表3、表4为计算处理过程，避免勿修改。</t>
    <phoneticPr fontId="7" type="noConversion"/>
  </si>
  <si>
    <r>
      <t>2.</t>
    </r>
    <r>
      <rPr>
        <b/>
        <sz val="14"/>
        <color theme="1"/>
        <rFont val="宋体"/>
        <family val="3"/>
        <charset val="134"/>
        <scheme val="minor"/>
      </rPr>
      <t>东经</t>
    </r>
    <r>
      <rPr>
        <sz val="14"/>
        <color theme="1"/>
        <rFont val="宋体"/>
        <family val="3"/>
        <charset val="134"/>
        <scheme val="minor"/>
      </rPr>
      <t>为</t>
    </r>
    <r>
      <rPr>
        <b/>
        <sz val="14"/>
        <color theme="1"/>
        <rFont val="宋体"/>
        <family val="3"/>
        <charset val="134"/>
        <scheme val="minor"/>
      </rPr>
      <t>正</t>
    </r>
    <r>
      <rPr>
        <sz val="14"/>
        <color theme="1"/>
        <rFont val="宋体"/>
        <family val="3"/>
        <charset val="134"/>
        <scheme val="minor"/>
      </rPr>
      <t>，</t>
    </r>
    <r>
      <rPr>
        <b/>
        <sz val="14"/>
        <color theme="1"/>
        <rFont val="宋体"/>
        <family val="3"/>
        <charset val="134"/>
        <scheme val="minor"/>
      </rPr>
      <t>西经</t>
    </r>
    <r>
      <rPr>
        <sz val="14"/>
        <color theme="1"/>
        <rFont val="宋体"/>
        <family val="3"/>
        <charset val="134"/>
        <scheme val="minor"/>
      </rPr>
      <t>为</t>
    </r>
    <r>
      <rPr>
        <b/>
        <sz val="14"/>
        <color theme="1"/>
        <rFont val="宋体"/>
        <family val="3"/>
        <charset val="134"/>
        <scheme val="minor"/>
      </rPr>
      <t>负</t>
    </r>
    <r>
      <rPr>
        <sz val="14"/>
        <color theme="1"/>
        <rFont val="宋体"/>
        <family val="3"/>
        <charset val="134"/>
        <scheme val="minor"/>
      </rPr>
      <t>；</t>
    </r>
    <r>
      <rPr>
        <b/>
        <sz val="14"/>
        <color theme="1"/>
        <rFont val="宋体"/>
        <family val="3"/>
        <charset val="134"/>
        <scheme val="minor"/>
      </rPr>
      <t>北纬</t>
    </r>
    <r>
      <rPr>
        <sz val="14"/>
        <color theme="1"/>
        <rFont val="宋体"/>
        <family val="3"/>
        <charset val="134"/>
        <scheme val="minor"/>
      </rPr>
      <t>为</t>
    </r>
    <r>
      <rPr>
        <b/>
        <sz val="14"/>
        <color theme="1"/>
        <rFont val="宋体"/>
        <family val="3"/>
        <charset val="134"/>
        <scheme val="minor"/>
      </rPr>
      <t>正</t>
    </r>
    <r>
      <rPr>
        <sz val="14"/>
        <color theme="1"/>
        <rFont val="宋体"/>
        <family val="3"/>
        <charset val="134"/>
        <scheme val="minor"/>
      </rPr>
      <t>，</t>
    </r>
    <r>
      <rPr>
        <b/>
        <sz val="14"/>
        <color theme="1"/>
        <rFont val="宋体"/>
        <family val="3"/>
        <charset val="134"/>
        <scheme val="minor"/>
      </rPr>
      <t>南纬</t>
    </r>
    <r>
      <rPr>
        <sz val="14"/>
        <color theme="1"/>
        <rFont val="宋体"/>
        <family val="3"/>
        <charset val="134"/>
        <scheme val="minor"/>
      </rPr>
      <t>为</t>
    </r>
    <r>
      <rPr>
        <b/>
        <sz val="14"/>
        <color theme="1"/>
        <rFont val="宋体"/>
        <family val="3"/>
        <charset val="134"/>
        <scheme val="minor"/>
      </rPr>
      <t>负</t>
    </r>
    <r>
      <rPr>
        <sz val="14"/>
        <color theme="1"/>
        <rFont val="宋体"/>
        <family val="3"/>
        <charset val="134"/>
        <scheme val="minor"/>
      </rPr>
      <t>。</t>
    </r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</si>
  <si>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标准时间时区</t>
    </r>
    <r>
      <rPr>
        <sz val="14"/>
        <color theme="1"/>
        <rFont val="宋体"/>
        <family val="3"/>
        <charset val="134"/>
        <scheme val="minor"/>
      </rPr>
      <t>：如果你在中国，使用UTC+8(北京时间)。</t>
    </r>
    <phoneticPr fontId="7" type="noConversion"/>
  </si>
  <si>
    <t>UTC+8(北京时间)</t>
    <phoneticPr fontId="7" type="noConversion"/>
  </si>
  <si>
    <t>修改日期：2025/7/9</t>
    <phoneticPr fontId="7" type="noConversion"/>
  </si>
  <si>
    <t>算法及推导过程：</t>
    <phoneticPr fontId="7" type="noConversion"/>
  </si>
  <si>
    <t>点钟
方向</t>
    <phoneticPr fontId="7" type="noConversion"/>
  </si>
  <si>
    <t>点钟方向</t>
    <phoneticPr fontId="7" type="noConversion"/>
  </si>
  <si>
    <r>
      <rPr>
        <b/>
        <sz val="14"/>
        <color theme="1"/>
        <rFont val="宋体"/>
        <family val="3"/>
        <charset val="134"/>
        <scheme val="minor"/>
      </rPr>
      <t>点钟方向</t>
    </r>
    <r>
      <rPr>
        <sz val="14"/>
        <color theme="1"/>
        <rFont val="宋体"/>
        <family val="3"/>
        <charset val="134"/>
        <scheme val="minor"/>
      </rPr>
      <t>：钟表盘上12点指向正北方时，太阳所处的方位在钟表上对应的数字位置。可用来确定方位。将钟表盘上该数字对准太阳，此时表盘上的12点是正北，6点是正南。</t>
    </r>
    <phoneticPr fontId="7" type="noConversion"/>
  </si>
  <si>
    <t>3.适用范围：中、低纬度地区.</t>
    <phoneticPr fontId="7" type="noConversion"/>
  </si>
  <si>
    <t>点击这里跳转网页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</si>
</sst>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"/>
    <numFmt numFmtId="178" formatCode="0.00_ "/>
    <numFmt numFmtId="179" formatCode="h:mm;@"/>
  </numFmts>
  <fonts count="12" x14ac:knownFonts="1">
    <font>
      <sz val="11"/>
      <color theme="1"/>
      <name val="宋体"/>
      <charset val="134"/>
      <scheme val="minor"/>
    </font>
    <font>
      <b/>
      <sz val="20"/>
      <color rgb="FFFF0000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4"/>
      <color rgb="FFFFFF00"/>
      <name val="宋体"/>
      <family val="3"/>
      <charset val="134"/>
      <scheme val="minor"/>
    </font>
    <font>
      <b/>
      <sz val="20"/>
      <color rgb="FFFFFF00"/>
      <name val="黑体"/>
      <family val="3"/>
      <charset val="134"/>
    </font>
    <font>
      <u/>
      <sz val="14"/>
      <color theme="1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DF1F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2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0" fontId="4" fillId="5" borderId="1" xfId="0" applyFont="1" applyFill="1" applyBorder="1" applyAlignment="1">
      <alignment horizontal="right" vertical="center"/>
    </xf>
    <xf numFmtId="2" fontId="4" fillId="5" borderId="1" xfId="0" applyNumberFormat="1" applyFont="1" applyFill="1" applyBorder="1">
      <alignment vertical="center"/>
    </xf>
    <xf numFmtId="0" fontId="0" fillId="0" borderId="9" xfId="0" applyBorder="1">
      <alignment vertical="center"/>
    </xf>
    <xf numFmtId="0" fontId="3" fillId="0" borderId="9" xfId="0" applyFont="1" applyBorder="1">
      <alignment vertical="center"/>
    </xf>
    <xf numFmtId="177" fontId="4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2" fontId="0" fillId="0" borderId="1" xfId="0" applyNumberFormat="1" applyBorder="1">
      <alignment vertical="center"/>
    </xf>
    <xf numFmtId="179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>
      <alignment vertical="center"/>
    </xf>
    <xf numFmtId="14" fontId="4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CAEDFB"/>
      <color rgb="FF66CCFF"/>
      <color rgb="FFFFDFBF"/>
      <color rgb="FFFFCCFF"/>
      <color rgb="FFFDF1F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3</xdr:row>
      <xdr:rowOff>60960</xdr:rowOff>
    </xdr:from>
    <xdr:to>
      <xdr:col>7</xdr:col>
      <xdr:colOff>342900</xdr:colOff>
      <xdr:row>10</xdr:row>
      <xdr:rowOff>291590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9E69DC1-6BB9-F662-B4EC-4F9FA30A7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1140" y="647700"/>
          <a:ext cx="3977640" cy="3103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zhuanlan.zhihu.com/p/19262327793324851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B2" sqref="B2:E2"/>
    </sheetView>
  </sheetViews>
  <sheetFormatPr defaultColWidth="9" defaultRowHeight="14.4" x14ac:dyDescent="0.25"/>
  <cols>
    <col min="1" max="1" width="76.44140625" style="22" bestFit="1" customWidth="1"/>
  </cols>
  <sheetData>
    <row r="1" spans="1:5" x14ac:dyDescent="0.25">
      <c r="A1" s="37" t="s">
        <v>108</v>
      </c>
      <c r="B1" s="38" t="s">
        <v>26</v>
      </c>
      <c r="C1" s="38"/>
      <c r="D1" s="38"/>
      <c r="E1" s="38"/>
    </row>
    <row r="2" spans="1:5" x14ac:dyDescent="0.25">
      <c r="A2" s="37"/>
      <c r="B2" s="39" t="s">
        <v>134</v>
      </c>
      <c r="C2" s="40"/>
      <c r="D2" s="40"/>
      <c r="E2" s="40"/>
    </row>
    <row r="3" spans="1:5" ht="17.399999999999999" x14ac:dyDescent="0.25">
      <c r="A3" s="18" t="s">
        <v>111</v>
      </c>
    </row>
    <row r="4" spans="1:5" ht="34.799999999999997" x14ac:dyDescent="0.25">
      <c r="A4" s="18" t="s">
        <v>119</v>
      </c>
    </row>
    <row r="5" spans="1:5" ht="52.2" x14ac:dyDescent="0.25">
      <c r="A5" s="18" t="s">
        <v>120</v>
      </c>
    </row>
    <row r="6" spans="1:5" ht="17.399999999999999" x14ac:dyDescent="0.25">
      <c r="A6" s="18"/>
    </row>
    <row r="7" spans="1:5" ht="17.399999999999999" x14ac:dyDescent="0.25">
      <c r="A7" s="35" t="s">
        <v>109</v>
      </c>
    </row>
    <row r="8" spans="1:5" ht="17.399999999999999" x14ac:dyDescent="0.25">
      <c r="A8" s="18" t="s">
        <v>132</v>
      </c>
    </row>
    <row r="9" spans="1:5" ht="69.599999999999994" x14ac:dyDescent="0.25">
      <c r="A9" s="18" t="s">
        <v>125</v>
      </c>
    </row>
    <row r="10" spans="1:5" ht="17.399999999999999" x14ac:dyDescent="0.25">
      <c r="A10" s="18" t="s">
        <v>122</v>
      </c>
    </row>
    <row r="11" spans="1:5" ht="34.799999999999997" x14ac:dyDescent="0.25">
      <c r="A11" s="18" t="s">
        <v>123</v>
      </c>
    </row>
    <row r="12" spans="1:5" ht="17.399999999999999" x14ac:dyDescent="0.25">
      <c r="A12" s="18" t="s">
        <v>124</v>
      </c>
    </row>
    <row r="13" spans="1:5" ht="52.2" x14ac:dyDescent="0.25">
      <c r="A13" s="18" t="s">
        <v>138</v>
      </c>
    </row>
    <row r="14" spans="1:5" ht="34.799999999999997" x14ac:dyDescent="0.25">
      <c r="A14" s="18" t="s">
        <v>127</v>
      </c>
    </row>
    <row r="15" spans="1:5" ht="52.2" x14ac:dyDescent="0.25">
      <c r="A15" s="18" t="s">
        <v>128</v>
      </c>
    </row>
    <row r="16" spans="1:5" ht="17.399999999999999" x14ac:dyDescent="0.25">
      <c r="A16" s="18"/>
    </row>
    <row r="17" spans="1:1" ht="17.399999999999999" x14ac:dyDescent="0.25">
      <c r="A17" s="35" t="s">
        <v>129</v>
      </c>
    </row>
    <row r="18" spans="1:1" ht="17.399999999999999" x14ac:dyDescent="0.25">
      <c r="A18" s="18" t="s">
        <v>130</v>
      </c>
    </row>
    <row r="19" spans="1:1" ht="17.399999999999999" x14ac:dyDescent="0.25">
      <c r="A19" s="18" t="s">
        <v>131</v>
      </c>
    </row>
    <row r="20" spans="1:1" ht="17.399999999999999" x14ac:dyDescent="0.25">
      <c r="A20" s="18" t="s">
        <v>139</v>
      </c>
    </row>
    <row r="21" spans="1:1" ht="17.399999999999999" x14ac:dyDescent="0.25">
      <c r="A21" s="18" t="s">
        <v>110</v>
      </c>
    </row>
    <row r="22" spans="1:1" ht="17.399999999999999" x14ac:dyDescent="0.25">
      <c r="A22" s="18"/>
    </row>
    <row r="23" spans="1:1" ht="17.399999999999999" x14ac:dyDescent="0.25">
      <c r="A23" s="35" t="s">
        <v>135</v>
      </c>
    </row>
    <row r="24" spans="1:1" ht="17.399999999999999" x14ac:dyDescent="0.25">
      <c r="A24" s="36" t="s">
        <v>140</v>
      </c>
    </row>
  </sheetData>
  <mergeCells count="3">
    <mergeCell ref="A1:A2"/>
    <mergeCell ref="B1:E1"/>
    <mergeCell ref="B2:E2"/>
  </mergeCells>
  <phoneticPr fontId="7" type="noConversion"/>
  <hyperlinks>
    <hyperlink ref="A24" r:id="rId1" display="点击跳转网页，或扫描二维码" xr:uid="{2967A0BA-6874-4949-99D8-B1D2A2D2D847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Normal="100" workbookViewId="0">
      <selection activeCell="C9" sqref="C9:D9"/>
    </sheetView>
  </sheetViews>
  <sheetFormatPr defaultColWidth="9" defaultRowHeight="17.399999999999999" x14ac:dyDescent="0.25"/>
  <cols>
    <col min="1" max="4" width="13.88671875" style="11" customWidth="1"/>
    <col min="5" max="5" width="5.6640625" style="11" customWidth="1"/>
    <col min="6" max="6" width="11.109375" style="11" customWidth="1"/>
    <col min="7" max="8" width="11.109375" style="12" customWidth="1"/>
    <col min="9" max="9" width="11.109375" style="13" customWidth="1"/>
    <col min="10" max="14" width="9" style="11" customWidth="1"/>
    <col min="15" max="16384" width="9" style="11"/>
  </cols>
  <sheetData>
    <row r="1" spans="1:9" ht="17.399999999999999" customHeight="1" x14ac:dyDescent="0.25">
      <c r="A1" s="48" t="s">
        <v>0</v>
      </c>
      <c r="B1" s="48"/>
      <c r="C1" s="48"/>
      <c r="D1" s="48"/>
      <c r="F1" s="45" t="s">
        <v>1</v>
      </c>
      <c r="G1" s="45" t="s">
        <v>2</v>
      </c>
      <c r="H1" s="45" t="s">
        <v>3</v>
      </c>
      <c r="I1" s="45" t="s">
        <v>136</v>
      </c>
    </row>
    <row r="2" spans="1:9" ht="17.399999999999999" customHeight="1" x14ac:dyDescent="0.25">
      <c r="A2" s="48"/>
      <c r="B2" s="48"/>
      <c r="C2" s="48"/>
      <c r="D2" s="48"/>
      <c r="F2" s="46"/>
      <c r="G2" s="46"/>
      <c r="H2" s="46"/>
      <c r="I2" s="46"/>
    </row>
    <row r="3" spans="1:9" ht="17.399999999999999" customHeight="1" x14ac:dyDescent="0.25">
      <c r="A3" s="49" t="s">
        <v>4</v>
      </c>
      <c r="B3" s="49"/>
      <c r="C3" s="49" t="s">
        <v>5</v>
      </c>
      <c r="D3" s="49"/>
      <c r="F3" s="15" t="s">
        <v>6</v>
      </c>
      <c r="G3" s="12">
        <f>IF(F3="", "", VLOOKUP(F3,【表3】处理过程壹!$E$8:$J$55, 5, FALSE))</f>
        <v>355.0517238022581</v>
      </c>
      <c r="H3" s="12">
        <f>IF(F3="", "", VLOOKUP(F3,【表3】处理过程壹!$E$8:$J$55, 6, FALSE))</f>
        <v>-37.159907712269721</v>
      </c>
      <c r="I3" s="13">
        <f>IF(F3="", "", G3/30)</f>
        <v>11.835057460075269</v>
      </c>
    </row>
    <row r="4" spans="1:9" x14ac:dyDescent="0.25">
      <c r="A4" s="49" t="s">
        <v>7</v>
      </c>
      <c r="B4" s="49"/>
      <c r="C4" s="49" t="s">
        <v>67</v>
      </c>
      <c r="D4" s="49"/>
      <c r="F4" s="16" t="str">
        <f>IF(F3="", "", IF((F3+【表3】处理过程壹!$E$5/24) &gt;= 1, "", TEXT(F3+【表3】处理过程壹!$E$5/24,"h:mm")))</f>
        <v>0:30</v>
      </c>
      <c r="G4" s="12">
        <f>IF(F4="", "", VLOOKUP(F4,【表3】处理过程壹!$E$8:$J$55, 5, FALSE))</f>
        <v>3.7467784674081175</v>
      </c>
      <c r="H4" s="12">
        <f>IF(F4="", "", VLOOKUP(F4,【表3】处理过程壹!$E$8:$J$55, 6, FALSE))</f>
        <v>-37.228063690247133</v>
      </c>
      <c r="I4" s="13">
        <f t="shared" ref="I4:I50" si="0">IF(F4="", "", G4/30)</f>
        <v>0.12489261558027058</v>
      </c>
    </row>
    <row r="5" spans="1:9" x14ac:dyDescent="0.25">
      <c r="A5" s="49" t="s">
        <v>9</v>
      </c>
      <c r="B5" s="49"/>
      <c r="C5" s="49" t="s">
        <v>10</v>
      </c>
      <c r="D5" s="49"/>
      <c r="F5" s="16" t="str">
        <f>IF(F4="", "", IF((F4+【表3】处理过程壹!$E$5/24) &gt;= 1, "", TEXT(F4+【表3】处理过程壹!$E$5/24,"h:mm")))</f>
        <v>1:00</v>
      </c>
      <c r="G5" s="12">
        <f>IF(F5="", "", VLOOKUP(F5,【表3】处理过程壹!$E$8:$J$55, 5, FALSE))</f>
        <v>12.319736776520577</v>
      </c>
      <c r="H5" s="12">
        <f>IF(F5="", "", VLOOKUP(F5,【表3】处理过程壹!$E$8:$J$55, 6, FALSE))</f>
        <v>-36.319703471060819</v>
      </c>
      <c r="I5" s="13">
        <f t="shared" si="0"/>
        <v>0.41065789255068591</v>
      </c>
    </row>
    <row r="6" spans="1:9" x14ac:dyDescent="0.25">
      <c r="F6" s="16" t="str">
        <f>IF(F5="", "", IF((F5+【表3】处理过程壹!$E$5/24) &gt;= 1, "", TEXT(F5+【表3】处理过程壹!$E$5/24,"h:mm")))</f>
        <v>1:30</v>
      </c>
      <c r="G6" s="12">
        <f>IF(F6="", "", VLOOKUP(F6,【表3】处理过程壹!$E$8:$J$55, 5, FALSE))</f>
        <v>20.513595325653117</v>
      </c>
      <c r="H6" s="12">
        <f>IF(F6="", "", VLOOKUP(F6,【表3】处理过程壹!$E$8:$J$55, 6, FALSE))</f>
        <v>-34.483036227506702</v>
      </c>
      <c r="I6" s="13">
        <f t="shared" si="0"/>
        <v>0.68378651085510389</v>
      </c>
    </row>
    <row r="7" spans="1:9" x14ac:dyDescent="0.25">
      <c r="A7" s="48" t="s">
        <v>11</v>
      </c>
      <c r="B7" s="48"/>
      <c r="C7" s="48"/>
      <c r="D7" s="48"/>
      <c r="F7" s="16" t="str">
        <f>IF(F6="", "", IF((F6+【表3】处理过程壹!$E$5/24) &gt;= 1, "", TEXT(F6+【表3】处理过程壹!$E$5/24,"h:mm")))</f>
        <v>2:00</v>
      </c>
      <c r="G7" s="12">
        <f>IF(F7="", "", VLOOKUP(F7,【表3】处理过程壹!$E$8:$J$55, 5, FALSE))</f>
        <v>28.143962592993802</v>
      </c>
      <c r="H7" s="12">
        <f>IF(F7="", "", VLOOKUP(F7,【表3】处理过程壹!$E$8:$J$55, 6, FALSE))</f>
        <v>-31.806485215648561</v>
      </c>
      <c r="I7" s="13">
        <f t="shared" si="0"/>
        <v>0.93813208643312673</v>
      </c>
    </row>
    <row r="8" spans="1:9" x14ac:dyDescent="0.25">
      <c r="A8" s="48"/>
      <c r="B8" s="48"/>
      <c r="C8" s="48"/>
      <c r="D8" s="48"/>
      <c r="F8" s="16" t="str">
        <f>IF(F7="", "", IF((F7+【表3】处理过程壹!$E$5/24) &gt;= 1, "", TEXT(F7+【表3】处理过程壹!$E$5/24,"h:mm")))</f>
        <v>2:30</v>
      </c>
      <c r="G8" s="12">
        <f>IF(F8="", "", VLOOKUP(F8,【表3】处理过程壹!$E$8:$J$55, 5, FALSE))</f>
        <v>35.115624032848473</v>
      </c>
      <c r="H8" s="12">
        <f>IF(F8="", "", VLOOKUP(F8,【表3】处理过程壹!$E$8:$J$55, 6, FALSE))</f>
        <v>-28.400300443861678</v>
      </c>
      <c r="I8" s="13">
        <f t="shared" si="0"/>
        <v>1.170520801094949</v>
      </c>
    </row>
    <row r="9" spans="1:9" x14ac:dyDescent="0.25">
      <c r="A9" s="49" t="s">
        <v>12</v>
      </c>
      <c r="B9" s="49"/>
      <c r="C9" s="52">
        <v>45846</v>
      </c>
      <c r="D9" s="49"/>
      <c r="F9" s="16" t="str">
        <f>IF(F8="", "", IF((F8+【表3】处理过程壹!$E$5/24) &gt;= 1, "", TEXT(F8+【表3】处理过程壹!$E$5/24,"h:mm")))</f>
        <v>3:00</v>
      </c>
      <c r="G9" s="12">
        <f>IF(F9="", "", VLOOKUP(F9,【表3】处理过程壹!$E$8:$J$55, 5, FALSE))</f>
        <v>41.41131995470478</v>
      </c>
      <c r="H9" s="12">
        <f>IF(F9="", "", VLOOKUP(F9,【表3】处理过程壹!$E$8:$J$55, 6, FALSE))</f>
        <v>-24.379122693704964</v>
      </c>
      <c r="I9" s="13">
        <f t="shared" si="0"/>
        <v>1.3803773318234926</v>
      </c>
    </row>
    <row r="10" spans="1:9" x14ac:dyDescent="0.25">
      <c r="A10" s="49" t="s">
        <v>13</v>
      </c>
      <c r="B10" s="49"/>
      <c r="C10" s="49">
        <v>116.9</v>
      </c>
      <c r="D10" s="49"/>
      <c r="F10" s="16" t="str">
        <f>IF(F9="", "", IF((F9+【表3】处理过程壹!$E$5/24) &gt;= 1, "", TEXT(F9+【表3】处理过程壹!$E$5/24,"h:mm")))</f>
        <v>3:30</v>
      </c>
      <c r="G10" s="12">
        <f>IF(F10="", "", VLOOKUP(F10,【表3】处理过程壹!$E$8:$J$55, 5, FALSE))</f>
        <v>47.067442892565779</v>
      </c>
      <c r="H10" s="12">
        <f>IF(F10="", "", VLOOKUP(F10,【表3】处理过程壹!$E$8:$J$55, 6, FALSE))</f>
        <v>-19.84999129030199</v>
      </c>
      <c r="I10" s="13">
        <f t="shared" si="0"/>
        <v>1.568914763085526</v>
      </c>
    </row>
    <row r="11" spans="1:9" x14ac:dyDescent="0.25">
      <c r="A11" s="49" t="s">
        <v>14</v>
      </c>
      <c r="B11" s="49"/>
      <c r="C11" s="49">
        <v>30.1</v>
      </c>
      <c r="D11" s="49"/>
      <c r="F11" s="16" t="str">
        <f>IF(F10="", "", IF((F10+【表3】处理过程壹!$E$5/24) &gt;= 1, "", TEXT(F10+【表3】处理过程壹!$E$5/24,"h:mm")))</f>
        <v>4:00</v>
      </c>
      <c r="G11" s="12">
        <f>IF(F11="", "", VLOOKUP(F11,【表3】处理过程壹!$E$8:$J$55, 5, FALSE))</f>
        <v>52.149901116376704</v>
      </c>
      <c r="H11" s="12">
        <f>IF(F11="", "", VLOOKUP(F11,【表3】处理过程壹!$E$8:$J$55, 6, FALSE))</f>
        <v>-14.906355537701419</v>
      </c>
      <c r="I11" s="13">
        <f t="shared" si="0"/>
        <v>1.7383300372125567</v>
      </c>
    </row>
    <row r="12" spans="1:9" x14ac:dyDescent="0.25">
      <c r="F12" s="16" t="str">
        <f>IF(F11="", "", IF((F11+【表3】处理过程壹!$E$5/24) &gt;= 1, "", TEXT(F11+【表3】处理过程壹!$E$5/24,"h:mm")))</f>
        <v>4:30</v>
      </c>
      <c r="G12" s="12">
        <f>IF(F12="", "", VLOOKUP(F12,【表3】处理过程壹!$E$8:$J$55, 5, FALSE))</f>
        <v>56.736370350270995</v>
      </c>
      <c r="H12" s="12">
        <f>IF(F12="", "", VLOOKUP(F12,【表3】处理过程壹!$E$8:$J$55, 6, FALSE))</f>
        <v>-9.6265056883220641</v>
      </c>
      <c r="I12" s="13">
        <f t="shared" si="0"/>
        <v>1.8912123450090332</v>
      </c>
    </row>
    <row r="13" spans="1:9" x14ac:dyDescent="0.25">
      <c r="A13" s="47" t="s">
        <v>118</v>
      </c>
      <c r="B13" s="47"/>
      <c r="C13" s="47"/>
      <c r="D13" s="47"/>
      <c r="F13" s="16" t="str">
        <f>IF(F12="", "", IF((F12+【表3】处理过程壹!$E$5/24) &gt;= 1, "", TEXT(F12+【表3】处理过程壹!$E$5/24,"h:mm")))</f>
        <v>5:00</v>
      </c>
      <c r="G13" s="12">
        <f>IF(F13="", "", VLOOKUP(F13,【表3】处理过程壹!$E$8:$J$55, 5, FALSE))</f>
        <v>60.905655123909966</v>
      </c>
      <c r="H13" s="12">
        <f>IF(F13="", "", VLOOKUP(F13,【表3】处理过程壹!$E$8:$J$55, 6, FALSE))</f>
        <v>-4.074500761951815</v>
      </c>
      <c r="I13" s="13">
        <f t="shared" si="0"/>
        <v>2.030188504130332</v>
      </c>
    </row>
    <row r="14" spans="1:9" x14ac:dyDescent="0.25">
      <c r="A14" s="47"/>
      <c r="B14" s="47"/>
      <c r="C14" s="47"/>
      <c r="D14" s="47"/>
      <c r="F14" s="16" t="str">
        <f>IF(F13="", "", IF((F13+【表3】处理过程壹!$E$5/24) &gt;= 1, "", TEXT(F13+【表3】处理过程壹!$E$5/24,"h:mm")))</f>
        <v>5:30</v>
      </c>
      <c r="G14" s="12">
        <f>IF(F14="", "", VLOOKUP(F14,【表3】处理过程壹!$E$8:$J$55, 5, FALSE))</f>
        <v>64.732548089208549</v>
      </c>
      <c r="H14" s="12">
        <f>IF(F14="", "", VLOOKUP(F14,【表3】处理过程壹!$E$8:$J$55, 6, FALSE))</f>
        <v>1.6978358537842377</v>
      </c>
      <c r="I14" s="13">
        <f t="shared" si="0"/>
        <v>2.1577516029736183</v>
      </c>
    </row>
    <row r="15" spans="1:9" x14ac:dyDescent="0.25">
      <c r="A15" s="50" t="s">
        <v>15</v>
      </c>
      <c r="B15" s="50"/>
      <c r="C15" s="51">
        <f>【表3】处理过程壹!$K$5</f>
        <v>22.580541066900103</v>
      </c>
      <c r="D15" s="51"/>
      <c r="F15" s="16" t="str">
        <f>IF(F14="", "", IF((F14+【表3】处理过程壹!$E$5/24) &gt;= 1, "", TEXT(F14+【表3】处理过程壹!$E$5/24,"h:mm")))</f>
        <v>6:00</v>
      </c>
      <c r="G15" s="12">
        <f>IF(F15="", "", VLOOKUP(F15,【表3】处理过程壹!$E$8:$J$55, 5, FALSE))</f>
        <v>68.286292483623569</v>
      </c>
      <c r="H15" s="12">
        <f>IF(F15="", "", VLOOKUP(F15,【表3】处理过程壹!$E$8:$J$55, 6, FALSE))</f>
        <v>7.6486797052761615</v>
      </c>
      <c r="I15" s="13">
        <f t="shared" si="0"/>
        <v>2.2762097494541189</v>
      </c>
    </row>
    <row r="16" spans="1:9" x14ac:dyDescent="0.25">
      <c r="A16" s="17" t="s">
        <v>16</v>
      </c>
      <c r="B16" s="25" t="str">
        <f>【表3】处理过程壹!P8</f>
        <v>5:21:17</v>
      </c>
      <c r="C16" s="17" t="s">
        <v>17</v>
      </c>
      <c r="D16" s="26">
        <f>【表3】处理过程壹!Q8</f>
        <v>63.651374786130674</v>
      </c>
      <c r="F16" s="16" t="str">
        <f>IF(F15="", "", IF((F15+【表3】处理过程壹!$E$5/24) &gt;= 1, "", TEXT(F15+【表3】处理过程壹!$E$5/24,"h:mm")))</f>
        <v>6:30</v>
      </c>
      <c r="G16" s="12">
        <f>IF(F16="", "", VLOOKUP(F16,【表3】处理过程壹!$E$8:$J$55, 5, FALSE))</f>
        <v>71.631258077682787</v>
      </c>
      <c r="H16" s="12">
        <f>IF(F16="", "", VLOOKUP(F16,【表3】处理过程壹!$E$8:$J$55, 6, FALSE))</f>
        <v>13.74411379208874</v>
      </c>
      <c r="I16" s="13">
        <f t="shared" si="0"/>
        <v>2.3877086025894263</v>
      </c>
    </row>
    <row r="17" spans="1:9" x14ac:dyDescent="0.25">
      <c r="A17" s="17" t="s">
        <v>18</v>
      </c>
      <c r="B17" s="25" t="str">
        <f>【表3】处理过程壹!P9</f>
        <v>12:17:05</v>
      </c>
      <c r="C17" s="17" t="s">
        <v>19</v>
      </c>
      <c r="D17" s="26">
        <f>【表3】处理过程壹!Q9</f>
        <v>82.480541066900102</v>
      </c>
      <c r="F17" s="16" t="str">
        <f>IF(F16="", "", IF((F16+【表3】处理过程壹!$E$5/24) &gt;= 1, "", TEXT(F16+【表3】处理过程壹!$E$5/24,"h:mm")))</f>
        <v>7:00</v>
      </c>
      <c r="G17" s="12">
        <f>IF(F17="", "", VLOOKUP(F17,【表3】处理过程壹!$E$8:$J$55, 5, FALSE))</f>
        <v>74.82907960177053</v>
      </c>
      <c r="H17" s="12">
        <f>IF(F17="", "", VLOOKUP(F17,【表3】处理过程壹!$E$8:$J$55, 6, FALSE))</f>
        <v>19.956309118526409</v>
      </c>
      <c r="I17" s="13">
        <f t="shared" si="0"/>
        <v>2.4943026533923511</v>
      </c>
    </row>
    <row r="18" spans="1:9" x14ac:dyDescent="0.25">
      <c r="A18" s="17" t="s">
        <v>20</v>
      </c>
      <c r="B18" s="25" t="str">
        <f>【表3】处理过程壹!P10</f>
        <v>19:12:53</v>
      </c>
      <c r="C18" s="17" t="s">
        <v>21</v>
      </c>
      <c r="D18" s="26">
        <f>【表3】处理过程壹!Q10</f>
        <v>296.34862521386935</v>
      </c>
      <c r="F18" s="16" t="str">
        <f>IF(F17="", "", IF((F17+【表3】处理过程壹!$E$5/24) &gt;= 1, "", TEXT(F17+【表3】处理过程壹!$E$5/24,"h:mm")))</f>
        <v>7:30</v>
      </c>
      <c r="G18" s="12">
        <f>IF(F18="", "", VLOOKUP(F18,【表3】处理过程壹!$E$8:$J$55, 5, FALSE))</f>
        <v>77.942098275239942</v>
      </c>
      <c r="H18" s="12">
        <f>IF(F18="", "", VLOOKUP(F18,【表3】处理过程壹!$E$8:$J$55, 6, FALSE))</f>
        <v>26.261967170094042</v>
      </c>
      <c r="I18" s="13">
        <f t="shared" si="0"/>
        <v>2.5980699425079981</v>
      </c>
    </row>
    <row r="19" spans="1:9" x14ac:dyDescent="0.25">
      <c r="A19" s="50" t="s">
        <v>22</v>
      </c>
      <c r="B19" s="50"/>
      <c r="C19" s="50" t="str">
        <f>【表3】处理过程壹!P11</f>
        <v>13时51分</v>
      </c>
      <c r="D19" s="50"/>
      <c r="F19" s="16" t="str">
        <f>IF(F18="", "", IF((F18+【表3】处理过程壹!$E$5/24) &gt;= 1, "", TEXT(F18+【表3】处理过程壹!$E$5/24,"h:mm")))</f>
        <v>8:00</v>
      </c>
      <c r="G19" s="12">
        <f>IF(F19="", "", VLOOKUP(F19,【表3】处理过程壹!$E$8:$J$55, 5, FALSE))</f>
        <v>81.038565093817169</v>
      </c>
      <c r="H19" s="12">
        <f>IF(F19="", "", VLOOKUP(F19,【表3】处理过程壹!$E$8:$J$55, 6, FALSE))</f>
        <v>32.640938436677693</v>
      </c>
      <c r="I19" s="13">
        <f t="shared" si="0"/>
        <v>2.7012855031272389</v>
      </c>
    </row>
    <row r="20" spans="1:9" x14ac:dyDescent="0.25">
      <c r="A20" s="17" t="s">
        <v>23</v>
      </c>
      <c r="B20" s="29">
        <f>【表4】处理过程贰!F6</f>
        <v>12.439427777854316</v>
      </c>
      <c r="C20" s="17" t="s">
        <v>24</v>
      </c>
      <c r="D20" s="17" t="str">
        <f>【表4】处理过程贰!H6</f>
        <v>盈凸月</v>
      </c>
      <c r="F20" s="16" t="str">
        <f>IF(F19="", "", IF((F19+【表3】处理过程壹!$E$5/24) &gt;= 1, "", TEXT(F19+【表3】处理过程壹!$E$5/24,"h:mm")))</f>
        <v>8:30</v>
      </c>
      <c r="G20" s="12">
        <f>IF(F20="", "", VLOOKUP(F20,【表3】处理过程壹!$E$8:$J$55, 5, FALSE))</f>
        <v>84.200969440259058</v>
      </c>
      <c r="H20" s="12">
        <f>IF(F20="", "", VLOOKUP(F20,【表3】处理过程壹!$E$8:$J$55, 6, FALSE))</f>
        <v>39.074864549365238</v>
      </c>
      <c r="I20" s="13">
        <f t="shared" si="0"/>
        <v>2.8066989813419685</v>
      </c>
    </row>
    <row r="21" spans="1:9" x14ac:dyDescent="0.25">
      <c r="F21" s="16" t="str">
        <f>IF(F20="", "", IF((F20+【表3】处理过程壹!$E$5/24) &gt;= 1, "", TEXT(F20+【表3】处理过程壹!$E$5/24,"h:mm")))</f>
        <v>9:00</v>
      </c>
      <c r="G21" s="12">
        <f>IF(F21="", "", VLOOKUP(F21,【表3】处理过程壹!$E$8:$J$55, 5, FALSE))</f>
        <v>87.540657095615899</v>
      </c>
      <c r="H21" s="12">
        <f>IF(F21="", "", VLOOKUP(F21,【表3】处理过程壹!$E$8:$J$55, 6, FALSE))</f>
        <v>45.545574032443668</v>
      </c>
      <c r="I21" s="13">
        <f t="shared" si="0"/>
        <v>2.9180219031871966</v>
      </c>
    </row>
    <row r="22" spans="1:9" x14ac:dyDescent="0.25">
      <c r="A22" s="44" t="s">
        <v>73</v>
      </c>
      <c r="B22" s="44"/>
      <c r="C22" s="44"/>
      <c r="D22" s="44"/>
      <c r="F22" s="16" t="str">
        <f>IF(F21="", "", IF((F21+【表3】处理过程壹!$E$5/24) &gt;= 1, "", TEXT(F21+【表3】处理过程壹!$E$5/24,"h:mm")))</f>
        <v>9:30</v>
      </c>
      <c r="G22" s="12">
        <f>IF(F22="", "", VLOOKUP(F22,【表3】处理过程壹!$E$8:$J$55, 5, FALSE))</f>
        <v>91.226212798943649</v>
      </c>
      <c r="H22" s="12">
        <f>IF(F22="", "", VLOOKUP(F22,【表3】处理过程壹!$E$8:$J$55, 6, FALSE))</f>
        <v>52.032669856233852</v>
      </c>
      <c r="I22" s="13">
        <f t="shared" si="0"/>
        <v>3.0408737599647884</v>
      </c>
    </row>
    <row r="23" spans="1:9" x14ac:dyDescent="0.25">
      <c r="A23" s="44"/>
      <c r="B23" s="44"/>
      <c r="C23" s="44"/>
      <c r="D23" s="44"/>
      <c r="F23" s="16" t="str">
        <f>IF(F22="", "", IF((F22+【表3】处理过程壹!$E$5/24) &gt;= 1, "", TEXT(F22+【表3】处理过程壹!$E$5/24,"h:mm")))</f>
        <v>10:00</v>
      </c>
      <c r="G23" s="12">
        <f>IF(F23="", "", VLOOKUP(F23,【表3】处理过程壹!$E$8:$J$55, 5, FALSE))</f>
        <v>95.544843542122408</v>
      </c>
      <c r="H23" s="12">
        <f>IF(F23="", "", VLOOKUP(F23,【表3】处理过程壹!$E$8:$J$55, 6, FALSE))</f>
        <v>58.508916284373825</v>
      </c>
      <c r="I23" s="13">
        <f t="shared" si="0"/>
        <v>3.1848281180707469</v>
      </c>
    </row>
    <row r="24" spans="1:9" x14ac:dyDescent="0.25">
      <c r="A24" s="19" t="s">
        <v>74</v>
      </c>
      <c r="B24" s="19" t="s">
        <v>75</v>
      </c>
      <c r="C24" s="19" t="s">
        <v>76</v>
      </c>
      <c r="D24" s="19" t="s">
        <v>137</v>
      </c>
      <c r="F24" s="16" t="str">
        <f>IF(F23="", "", IF((F23+【表3】处理过程壹!$E$5/24) &gt;= 1, "", TEXT(F23+【表3】处理过程壹!$E$5/24,"h:mm")))</f>
        <v>10:30</v>
      </c>
      <c r="G24" s="12">
        <f>IF(F24="", "", VLOOKUP(F24,【表3】处理过程壹!$E$8:$J$55, 5, FALSE))</f>
        <v>101.05252637758888</v>
      </c>
      <c r="H24" s="12">
        <f>IF(F24="", "", VLOOKUP(F24,【表3】处理过程壹!$E$8:$J$55, 6, FALSE))</f>
        <v>64.929339103132051</v>
      </c>
      <c r="I24" s="13">
        <f t="shared" si="0"/>
        <v>3.3684175459196291</v>
      </c>
    </row>
    <row r="25" spans="1:9" x14ac:dyDescent="0.25">
      <c r="A25" s="32">
        <v>0.4</v>
      </c>
      <c r="B25" s="33">
        <f>【表3】处理过程壹!I56</f>
        <v>92.026833069345031</v>
      </c>
      <c r="C25" s="33">
        <f>【表3】处理过程壹!J56</f>
        <v>53.329864952469578</v>
      </c>
      <c r="D25" s="34">
        <f>B25/30</f>
        <v>3.067561102311501</v>
      </c>
      <c r="F25" s="16" t="str">
        <f>IF(F24="", "", IF((F24+【表3】处理过程壹!$E$5/24) &gt;= 1, "", TEXT(F24+【表3】处理过程壹!$E$5/24,"h:mm")))</f>
        <v>11:00</v>
      </c>
      <c r="G25" s="12">
        <f>IF(F25="", "", VLOOKUP(F25,【表3】处理过程壹!$E$8:$J$55, 5, FALSE))</f>
        <v>108.99974612730996</v>
      </c>
      <c r="H25" s="12">
        <f>IF(F25="", "", VLOOKUP(F25,【表3】处理过程壹!$E$8:$J$55, 6, FALSE))</f>
        <v>71.199602703274735</v>
      </c>
      <c r="I25" s="13">
        <f t="shared" si="0"/>
        <v>3.6333248709103318</v>
      </c>
    </row>
    <row r="26" spans="1:9" ht="17.399999999999999" customHeight="1" x14ac:dyDescent="0.25">
      <c r="A26" s="41" t="s">
        <v>84</v>
      </c>
      <c r="B26" s="42"/>
      <c r="C26" s="42"/>
      <c r="D26" s="43"/>
      <c r="F26" s="16" t="str">
        <f>IF(F25="", "", IF((F25+【表3】处理过程壹!$E$5/24) &gt;= 1, "", TEXT(F25+【表3】处理过程壹!$E$5/24,"h:mm")))</f>
        <v>11:30</v>
      </c>
      <c r="G26" s="12">
        <f>IF(F26="", "", VLOOKUP(F26,【表3】处理过程壹!$E$8:$J$55, 5, FALSE))</f>
        <v>122.74635322575186</v>
      </c>
      <c r="H26" s="12">
        <f>IF(F26="", "", VLOOKUP(F26,【表3】处理过程壹!$E$8:$J$55, 6, FALSE))</f>
        <v>77.06015465194983</v>
      </c>
      <c r="I26" s="13">
        <f t="shared" si="0"/>
        <v>4.0915451075250617</v>
      </c>
    </row>
    <row r="27" spans="1:9" x14ac:dyDescent="0.25">
      <c r="F27" s="16" t="str">
        <f>IF(F26="", "", IF((F26+【表3】处理过程壹!$E$5/24) &gt;= 1, "", TEXT(F26+【表3】处理过程壹!$E$5/24,"h:mm")))</f>
        <v>12:00</v>
      </c>
      <c r="G27" s="12">
        <f>IF(F27="", "", VLOOKUP(F27,【表3】处理过程壹!$E$8:$J$55, 5, FALSE))</f>
        <v>152.05361761218307</v>
      </c>
      <c r="H27" s="12">
        <f>IF(F27="", "", VLOOKUP(F27,【表3】处理过程壹!$E$8:$J$55, 6, FALSE))</f>
        <v>81.565249349922652</v>
      </c>
      <c r="I27" s="13">
        <f t="shared" si="0"/>
        <v>5.0684539204061023</v>
      </c>
    </row>
    <row r="28" spans="1:9" x14ac:dyDescent="0.25">
      <c r="F28" s="16" t="str">
        <f>IF(F27="", "", IF((F27+【表3】处理过程壹!$E$5/24) &gt;= 1, "", TEXT(F27+【表3】处理过程壹!$E$5/24,"h:mm")))</f>
        <v>12:30</v>
      </c>
      <c r="G28" s="12">
        <f>IF(F28="", "", VLOOKUP(F28,【表3】处理过程壹!$E$8:$J$55, 5, FALSE))</f>
        <v>201.79407000124334</v>
      </c>
      <c r="H28" s="12">
        <f>IF(F28="", "", VLOOKUP(F28,【表3】处理过程壹!$E$8:$J$55, 6, FALSE))</f>
        <v>81.94382180656504</v>
      </c>
      <c r="I28" s="13">
        <f t="shared" si="0"/>
        <v>6.7264690000414449</v>
      </c>
    </row>
    <row r="29" spans="1:9" x14ac:dyDescent="0.25">
      <c r="F29" s="16" t="str">
        <f>IF(F28="", "", IF((F28+【表3】处理过程壹!$E$5/24) &gt;= 1, "", TEXT(F28+【表3】处理过程壹!$E$5/24,"h:mm")))</f>
        <v>13:00</v>
      </c>
      <c r="G29" s="12">
        <f>IF(F29="", "", VLOOKUP(F29,【表3】处理过程壹!$E$8:$J$55, 5, FALSE))</f>
        <v>234.46908192746497</v>
      </c>
      <c r="H29" s="12">
        <f>IF(F29="", "", VLOOKUP(F29,【表3】处理过程壹!$E$8:$J$55, 6, FALSE))</f>
        <v>77.804433481033854</v>
      </c>
      <c r="I29" s="13">
        <f t="shared" si="0"/>
        <v>7.8156360642488325</v>
      </c>
    </row>
    <row r="30" spans="1:9" ht="17.399999999999999" customHeight="1" x14ac:dyDescent="0.25">
      <c r="F30" s="16" t="str">
        <f>IF(F29="", "", IF((F29+【表3】处理过程壹!$E$5/24) &gt;= 1, "", TEXT(F29+【表3】处理过程壹!$E$5/24,"h:mm")))</f>
        <v>13:30</v>
      </c>
      <c r="G30" s="12">
        <f>IF(F30="", "", VLOOKUP(F30,【表3】处理过程壹!$E$8:$J$55, 5, FALSE))</f>
        <v>249.56604042254054</v>
      </c>
      <c r="H30" s="12">
        <f>IF(F30="", "", VLOOKUP(F30,【表3】处理过程壹!$E$8:$J$55, 6, FALSE))</f>
        <v>72.045972886961906</v>
      </c>
      <c r="I30" s="13">
        <f t="shared" si="0"/>
        <v>8.3188680140846838</v>
      </c>
    </row>
    <row r="31" spans="1:9" x14ac:dyDescent="0.25">
      <c r="F31" s="16" t="str">
        <f>IF(F30="", "", IF((F30+【表3】处理过程壹!$E$5/24) &gt;= 1, "", TEXT(F30+【表3】处理过程壹!$E$5/24,"h:mm")))</f>
        <v>14:00</v>
      </c>
      <c r="G31" s="12">
        <f>IF(F31="", "", VLOOKUP(F31,【表3】处理过程壹!$E$8:$J$55, 5, FALSE))</f>
        <v>258.03504267837337</v>
      </c>
      <c r="H31" s="12">
        <f>IF(F31="", "", VLOOKUP(F31,【表3】处理过程壹!$E$8:$J$55, 6, FALSE))</f>
        <v>65.810320392436125</v>
      </c>
      <c r="I31" s="13">
        <f t="shared" si="0"/>
        <v>8.6011680892791116</v>
      </c>
    </row>
    <row r="32" spans="1:9" x14ac:dyDescent="0.25">
      <c r="F32" s="16" t="str">
        <f>IF(F31="", "", IF((F31+【表3】处理过程壹!$E$5/24) &gt;= 1, "", TEXT(F31+【表3】处理过程壹!$E$5/24,"h:mm")))</f>
        <v>14:30</v>
      </c>
      <c r="G32" s="12">
        <f>IF(F32="", "", VLOOKUP(F32,【表3】处理过程壹!$E$8:$J$55, 5, FALSE))</f>
        <v>263.7809074961591</v>
      </c>
      <c r="H32" s="12">
        <f>IF(F32="", "", VLOOKUP(F32,【表3】处理过程壹!$E$8:$J$55, 6, FALSE))</f>
        <v>59.403235392738161</v>
      </c>
      <c r="I32" s="13">
        <f t="shared" si="0"/>
        <v>8.7926969165386364</v>
      </c>
    </row>
    <row r="33" spans="6:9" x14ac:dyDescent="0.25">
      <c r="F33" s="16" t="str">
        <f>IF(F32="", "", IF((F32+【表3】处理过程壹!$E$5/24) &gt;= 1, "", TEXT(F32+【表3】处理过程壹!$E$5/24,"h:mm")))</f>
        <v>15:00</v>
      </c>
      <c r="G33" s="12">
        <f>IF(F33="", "", VLOOKUP(F33,【表3】处理过程壹!$E$8:$J$55, 5, FALSE))</f>
        <v>268.22191750690712</v>
      </c>
      <c r="H33" s="12">
        <f>IF(F33="", "", VLOOKUP(F33,【表3】处理过程壹!$E$8:$J$55, 6, FALSE))</f>
        <v>52.931412453368978</v>
      </c>
      <c r="I33" s="13">
        <f t="shared" si="0"/>
        <v>8.9407305835635711</v>
      </c>
    </row>
    <row r="34" spans="6:9" x14ac:dyDescent="0.25">
      <c r="F34" s="16" t="str">
        <f>IF(F33="", "", IF((F33+【表3】处理过程壹!$E$5/24) &gt;= 1, "", TEXT(F33+【表3】处理过程壹!$E$5/24,"h:mm")))</f>
        <v>15:30</v>
      </c>
      <c r="G34" s="12">
        <f>IF(F34="", "", VLOOKUP(F34,【表3】处理过程壹!$E$8:$J$55, 5, FALSE))</f>
        <v>271.97417359498291</v>
      </c>
      <c r="H34" s="12">
        <f>IF(F34="", "", VLOOKUP(F34,【表3】处理过程壹!$E$8:$J$55, 6, FALSE))</f>
        <v>46.443952812844735</v>
      </c>
      <c r="I34" s="13">
        <f t="shared" si="0"/>
        <v>9.0658057864994301</v>
      </c>
    </row>
    <row r="35" spans="6:9" x14ac:dyDescent="0.25">
      <c r="F35" s="16" t="str">
        <f>IF(F34="", "", IF((F34+【表3】处理过程壹!$E$5/24) &gt;= 1, "", TEXT(F34+【表3】处理过程壹!$E$5/24,"h:mm")))</f>
        <v>16:00</v>
      </c>
      <c r="G35" s="12">
        <f>IF(F35="", "", VLOOKUP(F35,【表3】处理过程壹!$E$8:$J$55, 5, FALSE))</f>
        <v>275.34990667768523</v>
      </c>
      <c r="H35" s="12">
        <f>IF(F35="", "", VLOOKUP(F35,【表3】处理过程壹!$E$8:$J$55, 6, FALSE))</f>
        <v>39.969664608844077</v>
      </c>
      <c r="I35" s="13">
        <f t="shared" si="0"/>
        <v>9.1783302225895067</v>
      </c>
    </row>
    <row r="36" spans="6:9" x14ac:dyDescent="0.25">
      <c r="F36" s="16" t="str">
        <f>IF(F35="", "", IF((F35+【表3】处理过程壹!$E$5/24) &gt;= 1, "", TEXT(F35+【表3】处理过程壹!$E$5/24,"h:mm")))</f>
        <v>16:30</v>
      </c>
      <c r="G36" s="12">
        <f>IF(F36="", "", VLOOKUP(F36,【表3】处理过程壹!$E$8:$J$55, 5, FALSE))</f>
        <v>278.52932254820757</v>
      </c>
      <c r="H36" s="12">
        <f>IF(F36="", "", VLOOKUP(F36,【表3】处理过程壹!$E$8:$J$55, 6, FALSE))</f>
        <v>33.529538070591485</v>
      </c>
      <c r="I36" s="13">
        <f t="shared" si="0"/>
        <v>9.2843107516069185</v>
      </c>
    </row>
    <row r="37" spans="6:9" x14ac:dyDescent="0.25">
      <c r="F37" s="16" t="str">
        <f>IF(F36="", "", IF((F36+【表3】处理过程壹!$E$5/24) &gt;= 1, "", TEXT(F36+【表3】处理过程壹!$E$5/24,"h:mm")))</f>
        <v>17:00</v>
      </c>
      <c r="G37" s="12">
        <f>IF(F37="", "", VLOOKUP(F37,【表3】处理过程壹!$E$8:$J$55, 5, FALSE))</f>
        <v>281.62954287756321</v>
      </c>
      <c r="H37" s="12">
        <f>IF(F37="", "", VLOOKUP(F37,【表3】处理过程壹!$E$8:$J$55, 6, FALSE))</f>
        <v>27.141879876836995</v>
      </c>
      <c r="I37" s="13">
        <f t="shared" si="0"/>
        <v>9.3876514292521076</v>
      </c>
    </row>
    <row r="38" spans="6:9" x14ac:dyDescent="0.25">
      <c r="F38" s="16" t="str">
        <f>IF(F37="", "", IF((F37+【表3】处理过程壹!$E$5/24) &gt;= 1, "", TEXT(F37+【表3】处理过程壹!$E$5/24,"h:mm")))</f>
        <v>17:30</v>
      </c>
      <c r="G38" s="12">
        <f>IF(F38="", "", VLOOKUP(F38,【表3】处理过程壹!$E$8:$J$55, 5, FALSE))</f>
        <v>284.73597931823952</v>
      </c>
      <c r="H38" s="12">
        <f>IF(F38="", "", VLOOKUP(F38,【表3】处理过程壹!$E$8:$J$55, 6, FALSE))</f>
        <v>20.824916395472101</v>
      </c>
      <c r="I38" s="13">
        <f t="shared" si="0"/>
        <v>9.4911993106079837</v>
      </c>
    </row>
    <row r="39" spans="6:9" x14ac:dyDescent="0.25">
      <c r="F39" s="16" t="str">
        <f>IF(F38="", "", IF((F38+【表3】处理过程壹!$E$5/24) &gt;= 1, "", TEXT(F38+【表3】处理过程壹!$E$5/24,"h:mm")))</f>
        <v>18:00</v>
      </c>
      <c r="G39" s="12">
        <f>IF(F39="", "", VLOOKUP(F39,【表3】处理过程壹!$E$8:$J$55, 5, FALSE))</f>
        <v>287.91826119578468</v>
      </c>
      <c r="H39" s="12">
        <f>IF(F39="", "", VLOOKUP(F39,【表3】处理过程壹!$E$8:$J$55, 6, FALSE))</f>
        <v>14.598465951173093</v>
      </c>
      <c r="I39" s="13">
        <f t="shared" si="0"/>
        <v>9.5972753731928222</v>
      </c>
    </row>
    <row r="40" spans="6:9" x14ac:dyDescent="0.25">
      <c r="F40" s="16" t="str">
        <f>IF(F39="", "", IF((F39+【表3】处理过程壹!$E$5/24) &gt;= 1, "", TEXT(F39+【表3】处理过程壹!$E$5/24,"h:mm")))</f>
        <v>18:30</v>
      </c>
      <c r="G40" s="12">
        <f>IF(F40="", "", VLOOKUP(F40,【表3】处理过程壹!$E$8:$J$55, 5, FALSE))</f>
        <v>291.23918696190208</v>
      </c>
      <c r="H40" s="12">
        <f>IF(F40="", "", VLOOKUP(F40,【表3】处理过程壹!$E$8:$J$55, 6, FALSE))</f>
        <v>8.4853107813973505</v>
      </c>
      <c r="I40" s="13">
        <f t="shared" si="0"/>
        <v>9.7079728987300697</v>
      </c>
    </row>
    <row r="41" spans="6:9" x14ac:dyDescent="0.25">
      <c r="F41" s="16" t="str">
        <f>IF(F40="", "", IF((F40+【表3】处理过程壹!$E$5/24) &gt;= 1, "", TEXT(F40+【表3】处理过程壹!$E$5/24,"h:mm")))</f>
        <v>19:00</v>
      </c>
      <c r="G41" s="12">
        <f>IF(F41="", "", VLOOKUP(F41,【表3】处理过程壹!$E$8:$J$55, 5, FALSE))</f>
        <v>294.76025188180824</v>
      </c>
      <c r="H41" s="12">
        <f>IF(F41="", "", VLOOKUP(F41,【表3】处理过程壹!$E$8:$J$55, 6, FALSE))</f>
        <v>2.5125643575834657</v>
      </c>
      <c r="I41" s="13">
        <f t="shared" si="0"/>
        <v>9.8253417293936085</v>
      </c>
    </row>
    <row r="42" spans="6:9" x14ac:dyDescent="0.25">
      <c r="F42" s="16" t="str">
        <f>IF(F41="", "", IF((F41+【表3】处理过程壹!$E$5/24) &gt;= 1, "", TEXT(F41+【表3】处理过程壹!$E$5/24,"h:mm")))</f>
        <v>19:30</v>
      </c>
      <c r="G42" s="12">
        <f>IF(F42="", "", VLOOKUP(F42,【表3】处理过程壹!$E$8:$J$55, 5, FALSE))</f>
        <v>298.5452905190466</v>
      </c>
      <c r="H42" s="12">
        <f>IF(F42="", "", VLOOKUP(F42,【表3】处理过程壹!$E$8:$J$55, 6, FALSE))</f>
        <v>-3.2868019893145748</v>
      </c>
      <c r="I42" s="13">
        <f t="shared" si="0"/>
        <v>9.9515096839682204</v>
      </c>
    </row>
    <row r="43" spans="6:9" x14ac:dyDescent="0.25">
      <c r="F43" s="16" t="str">
        <f>IF(F42="", "", IF((F42+【表3】处理过程壹!$E$5/24) &gt;= 1, "", TEXT(F42+【表3】处理过程壹!$E$5/24,"h:mm")))</f>
        <v>20:00</v>
      </c>
      <c r="G43" s="12">
        <f>IF(F43="", "", VLOOKUP(F43,【表3】处理过程壹!$E$8:$J$55, 5, FALSE))</f>
        <v>302.6627922525808</v>
      </c>
      <c r="H43" s="12">
        <f>IF(F43="", "", VLOOKUP(F43,【表3】处理过程壹!$E$8:$J$55, 6, FALSE))</f>
        <v>-8.8721786278067931</v>
      </c>
      <c r="I43" s="13">
        <f t="shared" si="0"/>
        <v>10.088759741752693</v>
      </c>
    </row>
    <row r="44" spans="6:9" x14ac:dyDescent="0.25">
      <c r="F44" s="16" t="str">
        <f>IF(F43="", "", IF((F43+【表3】处理过程壹!$E$5/24) &gt;= 1, "", TEXT(F43+【表3】处理过程壹!$E$5/24,"h:mm")))</f>
        <v>20:30</v>
      </c>
      <c r="G44" s="12">
        <f>IF(F44="", "", VLOOKUP(F44,【表3】处理过程壹!$E$8:$J$55, 5, FALSE))</f>
        <v>307.18681072283192</v>
      </c>
      <c r="H44" s="12">
        <f>IF(F44="", "", VLOOKUP(F44,【表3】处理过程壹!$E$8:$J$55, 6, FALSE))</f>
        <v>-14.193260361268145</v>
      </c>
      <c r="I44" s="13">
        <f t="shared" si="0"/>
        <v>10.239560357427731</v>
      </c>
    </row>
    <row r="45" spans="6:9" x14ac:dyDescent="0.25">
      <c r="F45" s="16" t="str">
        <f>IF(F44="", "", IF((F44+【表3】处理过程壹!$E$5/24) &gt;= 1, "", TEXT(F44+【表3】处理过程壹!$E$5/24,"h:mm")))</f>
        <v>21:00</v>
      </c>
      <c r="G45" s="12">
        <f>IF(F45="", "", VLOOKUP(F45,【表3】处理过程壹!$E$8:$J$55, 5, FALSE))</f>
        <v>312.19580129733788</v>
      </c>
      <c r="H45" s="12">
        <f>IF(F45="", "", VLOOKUP(F45,【表3】处理过程壹!$E$8:$J$55, 6, FALSE))</f>
        <v>-19.187814370603348</v>
      </c>
      <c r="I45" s="13">
        <f t="shared" si="0"/>
        <v>10.406526709911263</v>
      </c>
    </row>
    <row r="46" spans="6:9" x14ac:dyDescent="0.25">
      <c r="F46" s="16" t="str">
        <f>IF(F45="", "", IF((F45+【表3】处理过程壹!$E$5/24) &gt;= 1, "", TEXT(F45+【表3】处理过程壹!$E$5/24,"h:mm")))</f>
        <v>21:30</v>
      </c>
      <c r="G46" s="12">
        <f>IF(F46="", "", VLOOKUP(F46,【表3】处理过程壹!$E$8:$J$55, 5, FALSE))</f>
        <v>317.76808529055279</v>
      </c>
      <c r="H46" s="12">
        <f>IF(F46="", "", VLOOKUP(F46,【表3】处理过程壹!$E$8:$J$55, 6, FALSE))</f>
        <v>-23.779613959376398</v>
      </c>
      <c r="I46" s="13">
        <f t="shared" si="0"/>
        <v>10.592269509685092</v>
      </c>
    </row>
    <row r="47" spans="6:9" x14ac:dyDescent="0.25">
      <c r="F47" s="16" t="str">
        <f>IF(F46="", "", IF((F46+【表3】处理过程壹!$E$5/24) &gt;= 1, "", TEXT(F46+【表3】处理过程壹!$E$5/24,"h:mm")))</f>
        <v>22:00</v>
      </c>
      <c r="G47" s="12">
        <f>IF(F47="", "", VLOOKUP(F47,【表3】处理过程壹!$E$8:$J$55, 5, FALSE))</f>
        <v>323.9720904880121</v>
      </c>
      <c r="H47" s="12">
        <f>IF(F47="", "", VLOOKUP(F47,【表3】处理过程壹!$E$8:$J$55, 6, FALSE))</f>
        <v>-27.877292040867058</v>
      </c>
      <c r="I47" s="13">
        <f t="shared" si="0"/>
        <v>10.799069682933737</v>
      </c>
    </row>
    <row r="48" spans="6:9" x14ac:dyDescent="0.25">
      <c r="F48" s="16" t="str">
        <f>IF(F47="", "", IF((F47+【表3】处理过程壹!$E$5/24) &gt;= 1, "", TEXT(F47+【表3】处理过程壹!$E$5/24,"h:mm")))</f>
        <v>22:30</v>
      </c>
      <c r="G48" s="12">
        <f>IF(F48="", "", VLOOKUP(F48,【表3】处理过程壹!$E$8:$J$55, 5, FALSE))</f>
        <v>330.8496285341642</v>
      </c>
      <c r="H48" s="12">
        <f>IF(F48="", "", VLOOKUP(F48,【表3】处理过程壹!$E$8:$J$55, 6, FALSE))</f>
        <v>-31.375456234440978</v>
      </c>
      <c r="I48" s="13">
        <f t="shared" si="0"/>
        <v>11.028320951138806</v>
      </c>
    </row>
    <row r="49" spans="6:9" x14ac:dyDescent="0.25">
      <c r="F49" s="16" t="str">
        <f>IF(F48="", "", IF((F48+【表3】处理过程壹!$E$5/24) &gt;= 1, "", TEXT(F48+【表3】处理过程壹!$E$5/24,"h:mm")))</f>
        <v>23:00</v>
      </c>
      <c r="G49" s="12">
        <f>IF(F49="", "", VLOOKUP(F49,【表3】处理过程壹!$E$8:$J$55, 5, FALSE))</f>
        <v>338.39243072995259</v>
      </c>
      <c r="H49" s="12">
        <f>IF(F49="", "", VLOOKUP(F49,【表3】处理过程壹!$E$8:$J$55, 6, FALSE))</f>
        <v>-34.159947867723332</v>
      </c>
      <c r="I49" s="13">
        <f t="shared" si="0"/>
        <v>11.27974769099842</v>
      </c>
    </row>
    <row r="50" spans="6:9" x14ac:dyDescent="0.25">
      <c r="F50" s="16" t="str">
        <f>IF(F49="", "", IF((F49+【表3】处理过程壹!$E$5/24) &gt;= 1, "", TEXT(F49+【表3】处理过程壹!$E$5/24,"h:mm")))</f>
        <v>23:30</v>
      </c>
      <c r="G50" s="12">
        <f>IF(F50="", "", VLOOKUP(F50,【表3】处理过程壹!$E$8:$J$55, 5, FALSE))</f>
        <v>346.51722231591702</v>
      </c>
      <c r="H50" s="12">
        <f>IF(F50="", "", VLOOKUP(F50,【表3】处理过程壹!$E$8:$J$55, 6, FALSE))</f>
        <v>-36.118963823149166</v>
      </c>
      <c r="I50" s="13">
        <f t="shared" si="0"/>
        <v>11.550574077197235</v>
      </c>
    </row>
    <row r="51" spans="6:9" x14ac:dyDescent="0.25">
      <c r="F51" s="14"/>
    </row>
    <row r="52" spans="6:9" x14ac:dyDescent="0.25">
      <c r="F52" s="14"/>
    </row>
    <row r="53" spans="6:9" x14ac:dyDescent="0.25">
      <c r="F53" s="14"/>
    </row>
  </sheetData>
  <mergeCells count="25">
    <mergeCell ref="G1:G2"/>
    <mergeCell ref="H1:H2"/>
    <mergeCell ref="A15:B15"/>
    <mergeCell ref="C15:D15"/>
    <mergeCell ref="C9:D9"/>
    <mergeCell ref="A10:B10"/>
    <mergeCell ref="C10:D10"/>
    <mergeCell ref="A11:B11"/>
    <mergeCell ref="F1:F2"/>
    <mergeCell ref="A26:D26"/>
    <mergeCell ref="A22:D23"/>
    <mergeCell ref="I1:I2"/>
    <mergeCell ref="A13:D14"/>
    <mergeCell ref="A7:D8"/>
    <mergeCell ref="A1:D2"/>
    <mergeCell ref="C11:D11"/>
    <mergeCell ref="A3:B3"/>
    <mergeCell ref="C3:D3"/>
    <mergeCell ref="A4:B4"/>
    <mergeCell ref="C4:D4"/>
    <mergeCell ref="A5:B5"/>
    <mergeCell ref="C5:D5"/>
    <mergeCell ref="A19:B19"/>
    <mergeCell ref="C19:D19"/>
    <mergeCell ref="A9:B9"/>
  </mergeCells>
  <phoneticPr fontId="7" type="noConversion"/>
  <conditionalFormatting sqref="F3:I70">
    <cfRule type="expression" dxfId="0" priority="1">
      <formula>NOT(F3="")</formula>
    </cfRule>
  </conditionalFormatting>
  <dataValidations count="7">
    <dataValidation type="date" errorStyle="information" allowBlank="1" showInputMessage="1" showErrorMessage="1" errorTitle="请检查是否输入错误" error="数据可能不符合日期格式。" sqref="C9:D9" xr:uid="{00000000-0002-0000-0100-000003000000}">
      <formula1>1</formula1>
      <formula2>767010</formula2>
    </dataValidation>
    <dataValidation type="decimal" errorStyle="information" allowBlank="1" showInputMessage="1" showErrorMessage="1" errorTitle="你可能填写有误" error="请检查“观测点经度”是否填写错误" sqref="C10:D10" xr:uid="{00000000-0002-0000-0100-000004000000}">
      <formula1>-190</formula1>
      <formula2>190</formula2>
    </dataValidation>
    <dataValidation type="decimal" errorStyle="information" allowBlank="1" showInputMessage="1" showErrorMessage="1" errorTitle="你可能填写有误" error="请检查“观测点纬度”是否填写错误" sqref="C11:D11" xr:uid="{00000000-0002-0000-0100-000005000000}">
      <formula1>-90</formula1>
      <formula2>90</formula2>
    </dataValidation>
    <dataValidation type="custom" errorStyle="information" allowBlank="1" showInputMessage="1" showErrorMessage="1" errorTitle="提示" error="你输入的可能是无效时间，是否编辑？" promptTitle="标准时间" prompt="填写该单元格后，自动计算太阳方位、太阳高度、对准刻度" sqref="A25" xr:uid="{6B15BD3D-135C-419F-8AFD-467585AA89E5}">
      <formula1>AND(ISNUMBER(A25), A25&gt;=0, A25&lt;1)</formula1>
    </dataValidation>
    <dataValidation allowBlank="1" showInputMessage="1" showErrorMessage="1" promptTitle="对准刻度" prompt="该单元格为自动计算，无需填写" sqref="D25" xr:uid="{54BBB661-3EB5-4BA2-B5F5-07ABD1E00791}"/>
    <dataValidation allowBlank="1" showInputMessage="1" showErrorMessage="1" promptTitle="太阳方位" prompt="该单元格为自动计算，无需填写" sqref="B25" xr:uid="{9B9A5698-7275-4BF4-AEF5-F5EC823B1EB9}"/>
    <dataValidation allowBlank="1" showInputMessage="1" showErrorMessage="1" promptTitle="太阳高度" prompt="该单元格为自动计算，无需填写" sqref="C25" xr:uid="{A55B67EA-339A-4B4D-AF4B-FE6D2099139F}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填写错误" error="请选择下拉框中的数据。" promptTitle="标准时间时区" prompt="如果你在中国，选择UTC+8，即北京时间" xr:uid="{00000000-0002-0000-0100-000000000000}">
          <x14:formula1>
            <xm:f>【表3】处理过程壹!$A$5:$A$28</xm:f>
          </x14:formula1>
          <xm:sqref>C3:D3</xm:sqref>
        </x14:dataValidation>
        <x14:dataValidation type="list" allowBlank="1" showInputMessage="1" showErrorMessage="1" errorTitle="填写错误" error="请选择下拉框中的数据。" promptTitle="时间基准" prompt="平太阳时是你手机、手表显示的标准时间；真太阳时反映了太阳的真实位置，默认正午时刻为当地时间12时整。我们日常使用的是平太阳时，所以默认设定为平太阳时。" xr:uid="{00000000-0002-0000-0100-000001000000}">
          <x14:formula1>
            <xm:f>【表3】处理过程壹!$A$31:$A$32</xm:f>
          </x14:formula1>
          <xm:sqref>C4:D4</xm:sqref>
        </x14:dataValidation>
        <x14:dataValidation type="list" allowBlank="1" showInputMessage="1" showErrorMessage="1" errorTitle="填写错误" error="请选择下拉框中的数据。" promptTitle="时间序列间隔" prompt="设定右边当日时间序列的时间间隔" xr:uid="{00000000-0002-0000-0100-000002000000}">
          <x14:formula1>
            <xm:f>【表3】处理过程壹!$A$35:$A$37</xm:f>
          </x14:formula1>
          <xm:sqref>C5:D5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6"/>
  <sheetViews>
    <sheetView workbookViewId="0">
      <selection activeCell="H2" sqref="H2"/>
    </sheetView>
  </sheetViews>
  <sheetFormatPr defaultColWidth="9" defaultRowHeight="14.4" x14ac:dyDescent="0.25"/>
  <cols>
    <col min="4" max="4" width="9.5546875" customWidth="1"/>
    <col min="5" max="5" width="7.5546875" bestFit="1" customWidth="1"/>
    <col min="7" max="7" width="9.5546875" customWidth="1"/>
    <col min="8" max="8" width="11.33203125" customWidth="1"/>
    <col min="9" max="9" width="7.77734375" customWidth="1"/>
    <col min="10" max="10" width="11.44140625" customWidth="1"/>
    <col min="12" max="12" width="10.21875" customWidth="1"/>
    <col min="13" max="15" width="9.109375" customWidth="1"/>
    <col min="16" max="16" width="14.77734375" customWidth="1"/>
    <col min="17" max="17" width="9.5546875" bestFit="1" customWidth="1"/>
  </cols>
  <sheetData>
    <row r="1" spans="1:17" x14ac:dyDescent="0.25">
      <c r="A1" s="57" t="s">
        <v>25</v>
      </c>
      <c r="B1" s="57"/>
      <c r="C1" s="57"/>
      <c r="D1" s="57"/>
      <c r="E1" s="57"/>
      <c r="F1" s="57"/>
      <c r="G1" s="57"/>
      <c r="I1" s="38" t="s">
        <v>26</v>
      </c>
      <c r="J1" s="38"/>
      <c r="K1" s="38"/>
      <c r="L1" s="38"/>
      <c r="M1" s="1"/>
    </row>
    <row r="2" spans="1:17" x14ac:dyDescent="0.25">
      <c r="A2" s="57"/>
      <c r="B2" s="57"/>
      <c r="C2" s="57"/>
      <c r="D2" s="57"/>
      <c r="E2" s="57"/>
      <c r="F2" s="57"/>
      <c r="G2" s="57"/>
      <c r="I2" s="38" t="s">
        <v>117</v>
      </c>
      <c r="J2" s="38"/>
      <c r="K2" s="38"/>
      <c r="L2" s="38"/>
    </row>
    <row r="3" spans="1:17" x14ac:dyDescent="0.25">
      <c r="A3" s="53" t="s">
        <v>27</v>
      </c>
      <c r="B3" s="54"/>
      <c r="D3" s="1" t="s">
        <v>28</v>
      </c>
      <c r="E3">
        <f>VLOOKUP(【表2】太阳位置计算器!$C$3,A5:B28,2,FALSE)</f>
        <v>120</v>
      </c>
      <c r="F3" s="1" t="s">
        <v>12</v>
      </c>
      <c r="G3" s="2">
        <f>【表2】太阳位置计算器!C9</f>
        <v>45846</v>
      </c>
      <c r="H3" s="1" t="s">
        <v>29</v>
      </c>
      <c r="I3">
        <f>G3-DATE(YEAR(G3),1,0)</f>
        <v>189</v>
      </c>
      <c r="J3" s="1" t="s">
        <v>30</v>
      </c>
      <c r="K3">
        <f>2*PI()*($I$3-1)/365</f>
        <v>3.2362707883555131</v>
      </c>
      <c r="L3" s="1" t="s">
        <v>31</v>
      </c>
      <c r="M3">
        <f>2*PI()*($I$3-81)/365</f>
        <v>1.8591342826723158</v>
      </c>
    </row>
    <row r="4" spans="1:17" x14ac:dyDescent="0.25">
      <c r="A4" s="3" t="s">
        <v>32</v>
      </c>
      <c r="B4" s="4" t="s">
        <v>28</v>
      </c>
      <c r="D4" s="1" t="s">
        <v>7</v>
      </c>
      <c r="E4">
        <f>VLOOKUP(【表2】太阳位置计算器!$C$4,A31:B32,2,FALSE)</f>
        <v>1</v>
      </c>
      <c r="F4" s="1" t="s">
        <v>33</v>
      </c>
      <c r="G4">
        <f>【表2】太阳位置计算器!C10</f>
        <v>116.9</v>
      </c>
      <c r="H4" s="1" t="s">
        <v>34</v>
      </c>
      <c r="I4">
        <f>(G4-E3)/15</f>
        <v>-0.20666666666666628</v>
      </c>
      <c r="J4" s="1" t="s">
        <v>35</v>
      </c>
      <c r="K4" s="10">
        <f>0.006918-0.399912*COS($K$3)+0.070257*SIN($K$3)-0.006758*COS(2*$K$3)+0.000907*SIN(2*$K$3)-0.002697*COS(3*$K$3)+0.00148*SIN(3*$K$3)</f>
        <v>0.3941047884992</v>
      </c>
      <c r="L4" s="1" t="s">
        <v>36</v>
      </c>
      <c r="M4">
        <f>9.87*SIN(2*M3)-7.53*COS(M3)-1.5*SIN(M3)</f>
        <v>-4.6783751736512107</v>
      </c>
    </row>
    <row r="5" spans="1:17" x14ac:dyDescent="0.25">
      <c r="A5" s="3" t="s">
        <v>37</v>
      </c>
      <c r="B5" s="5">
        <v>180</v>
      </c>
      <c r="D5" s="1" t="s">
        <v>38</v>
      </c>
      <c r="E5">
        <f>VLOOKUP(【表2】太阳位置计算器!$C$5,A35:B37,2,FALSE)</f>
        <v>0.5</v>
      </c>
      <c r="F5" s="1" t="s">
        <v>39</v>
      </c>
      <c r="G5">
        <f>【表2】太阳位置计算器!C11</f>
        <v>30.1</v>
      </c>
      <c r="H5" s="1" t="s">
        <v>40</v>
      </c>
      <c r="I5" s="10">
        <f>RADIANS(G5)</f>
        <v>0.52534410485029326</v>
      </c>
      <c r="J5" s="1" t="s">
        <v>41</v>
      </c>
      <c r="K5">
        <f>DEGREES(K4)</f>
        <v>22.580541066900103</v>
      </c>
    </row>
    <row r="6" spans="1:17" x14ac:dyDescent="0.25">
      <c r="A6" s="3" t="s">
        <v>42</v>
      </c>
      <c r="B6" s="5">
        <v>165</v>
      </c>
    </row>
    <row r="7" spans="1:17" ht="28.8" x14ac:dyDescent="0.25">
      <c r="A7" s="3" t="s">
        <v>43</v>
      </c>
      <c r="B7" s="5">
        <v>150</v>
      </c>
      <c r="D7" s="6" t="s">
        <v>79</v>
      </c>
      <c r="E7" s="6" t="s">
        <v>78</v>
      </c>
      <c r="F7" s="6" t="s">
        <v>44</v>
      </c>
      <c r="G7" s="6" t="s">
        <v>45</v>
      </c>
      <c r="H7" s="7" t="s">
        <v>46</v>
      </c>
      <c r="I7" s="6" t="s">
        <v>2</v>
      </c>
      <c r="J7" s="6" t="s">
        <v>3</v>
      </c>
      <c r="M7" s="6" t="s">
        <v>77</v>
      </c>
      <c r="N7" s="6" t="s">
        <v>80</v>
      </c>
      <c r="O7" s="6" t="s">
        <v>81</v>
      </c>
      <c r="P7" s="6" t="s">
        <v>82</v>
      </c>
      <c r="Q7" s="6" t="s">
        <v>83</v>
      </c>
    </row>
    <row r="8" spans="1:17" x14ac:dyDescent="0.25">
      <c r="A8" s="3" t="s">
        <v>47</v>
      </c>
      <c r="B8" s="5">
        <v>135</v>
      </c>
      <c r="D8">
        <v>0</v>
      </c>
      <c r="E8" t="str">
        <f>TEXT(D8/24,"h:mm")</f>
        <v>0:00</v>
      </c>
      <c r="F8">
        <f>D8+$I$4</f>
        <v>-0.20666666666666628</v>
      </c>
      <c r="G8">
        <f>D8+$I$4+$M$4/60</f>
        <v>-0.28463958622751978</v>
      </c>
      <c r="H8">
        <f>IF($E$4=1,RADIANS(15*G8),RADIANS(15*F8))</f>
        <v>-7.451846941776788E-2</v>
      </c>
      <c r="I8">
        <f>MOD(DEGREES(ATAN2(COS($K$4)*COS(H8)*SIN($I$5)+SIN($K$4)*COS($I$5),COS($K$4)*SIN(H8))),360)</f>
        <v>355.0517238022581</v>
      </c>
      <c r="J8">
        <f>DEGREES(ASIN(SIN($K$4)*SIN($I$5)-COS($K$4)*COS(H8)*COS($I$5)))</f>
        <v>-37.159907712269721</v>
      </c>
      <c r="L8" s="1" t="s">
        <v>70</v>
      </c>
      <c r="M8" s="23">
        <f>DEGREES(ACOS(TAN(K4)*TAN(I5)))/15</f>
        <v>5.0700339766076077</v>
      </c>
      <c r="N8" s="23">
        <f>M8-$I$4</f>
        <v>5.2767006432742738</v>
      </c>
      <c r="O8" s="23">
        <f>N8-$M$4/60</f>
        <v>5.354673562835127</v>
      </c>
      <c r="P8" t="str">
        <f>IF($E$4=1, TEXT(O8/24, "h:mm:ss"), TEXT(N8/24, "h:mm:ss"))</f>
        <v>5:21:17</v>
      </c>
      <c r="Q8" s="23">
        <f>DEGREES(ACOS(SIN($K$4)/COS($I$5)))</f>
        <v>63.651374786130674</v>
      </c>
    </row>
    <row r="9" spans="1:17" x14ac:dyDescent="0.25">
      <c r="A9" s="3" t="s">
        <v>133</v>
      </c>
      <c r="B9" s="5">
        <v>120</v>
      </c>
      <c r="D9">
        <v>0.5</v>
      </c>
      <c r="E9" t="str">
        <f t="shared" ref="E9:E55" si="0">TEXT(D9/24,"h:mm")</f>
        <v>0:30</v>
      </c>
      <c r="F9">
        <f t="shared" ref="F9:F55" si="1">D9+$I$4</f>
        <v>0.29333333333333372</v>
      </c>
      <c r="G9">
        <f t="shared" ref="G9:G55" si="2">D9+$I$4+$M$4/60</f>
        <v>0.21536041377248022</v>
      </c>
      <c r="H9">
        <f t="shared" ref="H9:H55" si="3">IF($E$4=1,RADIANS(15*G9),RADIANS(15*F9))</f>
        <v>5.6381224481806831E-2</v>
      </c>
      <c r="I9">
        <f t="shared" ref="I9:I55" si="4">MOD(DEGREES(ATAN2(COS($K$4)*COS(H9)*SIN($I$5)+SIN($K$4)*COS($I$5),COS($K$4)*SIN(H9))),360)</f>
        <v>3.7467784674081175</v>
      </c>
      <c r="J9">
        <f t="shared" ref="J9:J55" si="5">DEGREES(ASIN(SIN($K$4)*SIN($I$5)-COS($K$4)*COS(H9)*COS($I$5)))</f>
        <v>-37.228063690247133</v>
      </c>
      <c r="L9" s="1" t="s">
        <v>71</v>
      </c>
      <c r="M9" s="23">
        <v>12</v>
      </c>
      <c r="N9" s="23">
        <f t="shared" ref="N9:N10" si="6">M9-$I$4</f>
        <v>12.206666666666667</v>
      </c>
      <c r="O9" s="23">
        <f t="shared" ref="O9:O10" si="7">N9-$M$4/60</f>
        <v>12.28463958622752</v>
      </c>
      <c r="P9" t="str">
        <f t="shared" ref="P9:P10" si="8">IF($E$4=1, TEXT(O9/24, "h:mm:ss"), TEXT(N9/24, "h:mm:ss"))</f>
        <v>12:17:05</v>
      </c>
      <c r="Q9" s="23">
        <f>90-G5+K5</f>
        <v>82.480541066900102</v>
      </c>
    </row>
    <row r="10" spans="1:17" x14ac:dyDescent="0.25">
      <c r="A10" s="3" t="s">
        <v>48</v>
      </c>
      <c r="B10" s="5">
        <v>105</v>
      </c>
      <c r="D10">
        <v>1</v>
      </c>
      <c r="E10" t="str">
        <f t="shared" si="0"/>
        <v>1:00</v>
      </c>
      <c r="F10">
        <f t="shared" si="1"/>
        <v>0.79333333333333367</v>
      </c>
      <c r="G10">
        <f t="shared" si="2"/>
        <v>0.71536041377248016</v>
      </c>
      <c r="H10">
        <f t="shared" si="3"/>
        <v>0.18728091838138153</v>
      </c>
      <c r="I10">
        <f t="shared" si="4"/>
        <v>12.319736776520577</v>
      </c>
      <c r="J10">
        <f t="shared" si="5"/>
        <v>-36.319703471060819</v>
      </c>
      <c r="L10" s="1" t="s">
        <v>72</v>
      </c>
      <c r="M10" s="24">
        <f>24-M8</f>
        <v>18.929966023392392</v>
      </c>
      <c r="N10" s="23">
        <f t="shared" si="6"/>
        <v>19.136632690059059</v>
      </c>
      <c r="O10" s="23">
        <f t="shared" si="7"/>
        <v>19.214605609619912</v>
      </c>
      <c r="P10" t="str">
        <f t="shared" si="8"/>
        <v>19:12:53</v>
      </c>
      <c r="Q10" s="23">
        <f>360-Q8</f>
        <v>296.34862521386935</v>
      </c>
    </row>
    <row r="11" spans="1:17" x14ac:dyDescent="0.25">
      <c r="A11" s="3" t="s">
        <v>49</v>
      </c>
      <c r="B11" s="5">
        <v>90</v>
      </c>
      <c r="D11">
        <v>1.5</v>
      </c>
      <c r="E11" t="str">
        <f t="shared" si="0"/>
        <v>1:30</v>
      </c>
      <c r="F11">
        <f t="shared" si="1"/>
        <v>1.2933333333333337</v>
      </c>
      <c r="G11">
        <f t="shared" si="2"/>
        <v>1.2153604137724801</v>
      </c>
      <c r="H11">
        <f t="shared" si="3"/>
        <v>0.31818061228095623</v>
      </c>
      <c r="I11">
        <f t="shared" si="4"/>
        <v>20.513595325653117</v>
      </c>
      <c r="J11">
        <f t="shared" si="5"/>
        <v>-34.483036227506702</v>
      </c>
      <c r="L11" s="1" t="s">
        <v>85</v>
      </c>
      <c r="M11" s="23">
        <f>M10-M8</f>
        <v>13.859932046784785</v>
      </c>
      <c r="P11" s="1" t="str">
        <f>TEXT(M11/24, "h时mm分")</f>
        <v>13时51分</v>
      </c>
    </row>
    <row r="12" spans="1:17" x14ac:dyDescent="0.25">
      <c r="A12" s="3" t="s">
        <v>50</v>
      </c>
      <c r="B12" s="5">
        <v>75</v>
      </c>
      <c r="D12">
        <v>2</v>
      </c>
      <c r="E12" t="str">
        <f t="shared" si="0"/>
        <v>2:00</v>
      </c>
      <c r="F12">
        <f t="shared" si="1"/>
        <v>1.7933333333333337</v>
      </c>
      <c r="G12">
        <f t="shared" si="2"/>
        <v>1.7153604137724801</v>
      </c>
      <c r="H12">
        <f t="shared" si="3"/>
        <v>0.44908030618053096</v>
      </c>
      <c r="I12">
        <f t="shared" si="4"/>
        <v>28.143962592993802</v>
      </c>
      <c r="J12">
        <f t="shared" si="5"/>
        <v>-31.806485215648561</v>
      </c>
    </row>
    <row r="13" spans="1:17" x14ac:dyDescent="0.25">
      <c r="A13" s="3" t="s">
        <v>51</v>
      </c>
      <c r="B13" s="5">
        <v>60</v>
      </c>
      <c r="D13">
        <v>2.5</v>
      </c>
      <c r="E13" t="str">
        <f t="shared" si="0"/>
        <v>2:30</v>
      </c>
      <c r="F13">
        <f t="shared" si="1"/>
        <v>2.2933333333333339</v>
      </c>
      <c r="G13">
        <f t="shared" si="2"/>
        <v>2.2153604137724803</v>
      </c>
      <c r="H13">
        <f t="shared" si="3"/>
        <v>0.57998000008010575</v>
      </c>
      <c r="I13">
        <f t="shared" si="4"/>
        <v>35.115624032848473</v>
      </c>
      <c r="J13">
        <f t="shared" si="5"/>
        <v>-28.400300443861678</v>
      </c>
    </row>
    <row r="14" spans="1:17" x14ac:dyDescent="0.25">
      <c r="A14" s="3" t="s">
        <v>52</v>
      </c>
      <c r="B14" s="5">
        <v>45</v>
      </c>
      <c r="D14">
        <v>3</v>
      </c>
      <c r="E14" t="str">
        <f t="shared" si="0"/>
        <v>3:00</v>
      </c>
      <c r="F14">
        <f t="shared" si="1"/>
        <v>2.7933333333333339</v>
      </c>
      <c r="G14">
        <f t="shared" si="2"/>
        <v>2.7153604137724803</v>
      </c>
      <c r="H14">
        <f t="shared" si="3"/>
        <v>0.71087969397968043</v>
      </c>
      <c r="I14">
        <f t="shared" si="4"/>
        <v>41.41131995470478</v>
      </c>
      <c r="J14">
        <f t="shared" si="5"/>
        <v>-24.379122693704964</v>
      </c>
    </row>
    <row r="15" spans="1:17" x14ac:dyDescent="0.25">
      <c r="A15" s="3" t="s">
        <v>53</v>
      </c>
      <c r="B15" s="5">
        <v>30</v>
      </c>
      <c r="D15">
        <v>3.5</v>
      </c>
      <c r="E15" t="str">
        <f t="shared" si="0"/>
        <v>3:30</v>
      </c>
      <c r="F15">
        <f t="shared" si="1"/>
        <v>3.2933333333333339</v>
      </c>
      <c r="G15">
        <f t="shared" si="2"/>
        <v>3.2153604137724803</v>
      </c>
      <c r="H15">
        <f t="shared" si="3"/>
        <v>0.8417793878792551</v>
      </c>
      <c r="I15">
        <f t="shared" si="4"/>
        <v>47.067442892565779</v>
      </c>
      <c r="J15">
        <f t="shared" si="5"/>
        <v>-19.84999129030199</v>
      </c>
    </row>
    <row r="16" spans="1:17" x14ac:dyDescent="0.25">
      <c r="A16" s="3" t="s">
        <v>54</v>
      </c>
      <c r="B16" s="5">
        <v>15</v>
      </c>
      <c r="D16">
        <v>4</v>
      </c>
      <c r="E16" t="str">
        <f t="shared" si="0"/>
        <v>4:00</v>
      </c>
      <c r="F16">
        <f t="shared" si="1"/>
        <v>3.7933333333333339</v>
      </c>
      <c r="G16">
        <f t="shared" si="2"/>
        <v>3.7153604137724803</v>
      </c>
      <c r="H16">
        <f t="shared" si="3"/>
        <v>0.97267908177882989</v>
      </c>
      <c r="I16">
        <f t="shared" si="4"/>
        <v>52.149901116376704</v>
      </c>
      <c r="J16">
        <f t="shared" si="5"/>
        <v>-14.906355537701419</v>
      </c>
    </row>
    <row r="17" spans="1:10" x14ac:dyDescent="0.25">
      <c r="A17" s="3" t="s">
        <v>55</v>
      </c>
      <c r="B17" s="5">
        <v>0</v>
      </c>
      <c r="D17">
        <v>4.5</v>
      </c>
      <c r="E17" t="str">
        <f t="shared" si="0"/>
        <v>4:30</v>
      </c>
      <c r="F17">
        <f t="shared" si="1"/>
        <v>4.2933333333333339</v>
      </c>
      <c r="G17">
        <f t="shared" si="2"/>
        <v>4.2153604137724807</v>
      </c>
      <c r="H17">
        <f t="shared" si="3"/>
        <v>1.1035787756784048</v>
      </c>
      <c r="I17">
        <f t="shared" si="4"/>
        <v>56.736370350270995</v>
      </c>
      <c r="J17">
        <f t="shared" si="5"/>
        <v>-9.6265056883220641</v>
      </c>
    </row>
    <row r="18" spans="1:10" x14ac:dyDescent="0.25">
      <c r="A18" s="3" t="s">
        <v>56</v>
      </c>
      <c r="B18" s="5">
        <v>-15</v>
      </c>
      <c r="D18">
        <v>5</v>
      </c>
      <c r="E18" t="str">
        <f t="shared" si="0"/>
        <v>5:00</v>
      </c>
      <c r="F18">
        <f t="shared" si="1"/>
        <v>4.7933333333333339</v>
      </c>
      <c r="G18">
        <f t="shared" si="2"/>
        <v>4.7153604137724807</v>
      </c>
      <c r="H18">
        <f t="shared" si="3"/>
        <v>1.2344784695779794</v>
      </c>
      <c r="I18">
        <f t="shared" si="4"/>
        <v>60.905655123909966</v>
      </c>
      <c r="J18">
        <f t="shared" si="5"/>
        <v>-4.074500761951815</v>
      </c>
    </row>
    <row r="19" spans="1:10" x14ac:dyDescent="0.25">
      <c r="A19" s="3" t="s">
        <v>57</v>
      </c>
      <c r="B19" s="5">
        <v>-30</v>
      </c>
      <c r="D19">
        <v>5.5</v>
      </c>
      <c r="E19" t="str">
        <f t="shared" si="0"/>
        <v>5:30</v>
      </c>
      <c r="F19">
        <f t="shared" si="1"/>
        <v>5.2933333333333339</v>
      </c>
      <c r="G19">
        <f t="shared" si="2"/>
        <v>5.2153604137724807</v>
      </c>
      <c r="H19">
        <f t="shared" si="3"/>
        <v>1.3653781634775539</v>
      </c>
      <c r="I19">
        <f t="shared" si="4"/>
        <v>64.732548089208549</v>
      </c>
      <c r="J19">
        <f t="shared" si="5"/>
        <v>1.6978358537842377</v>
      </c>
    </row>
    <row r="20" spans="1:10" x14ac:dyDescent="0.25">
      <c r="A20" s="3" t="s">
        <v>58</v>
      </c>
      <c r="B20" s="5">
        <v>-45</v>
      </c>
      <c r="D20">
        <v>6</v>
      </c>
      <c r="E20" t="str">
        <f t="shared" si="0"/>
        <v>6:00</v>
      </c>
      <c r="F20">
        <f t="shared" si="1"/>
        <v>5.7933333333333339</v>
      </c>
      <c r="G20">
        <f t="shared" si="2"/>
        <v>5.7153604137724807</v>
      </c>
      <c r="H20">
        <f t="shared" si="3"/>
        <v>1.4962778573771287</v>
      </c>
      <c r="I20">
        <f t="shared" si="4"/>
        <v>68.286292483623569</v>
      </c>
      <c r="J20">
        <f t="shared" si="5"/>
        <v>7.6486797052761615</v>
      </c>
    </row>
    <row r="21" spans="1:10" x14ac:dyDescent="0.25">
      <c r="A21" s="3" t="s">
        <v>59</v>
      </c>
      <c r="B21" s="5">
        <v>-60</v>
      </c>
      <c r="D21">
        <v>6.5</v>
      </c>
      <c r="E21" t="str">
        <f t="shared" si="0"/>
        <v>6:30</v>
      </c>
      <c r="F21">
        <f t="shared" si="1"/>
        <v>6.2933333333333339</v>
      </c>
      <c r="G21">
        <f t="shared" si="2"/>
        <v>6.2153604137724807</v>
      </c>
      <c r="H21">
        <f t="shared" si="3"/>
        <v>1.6271775512767035</v>
      </c>
      <c r="I21">
        <f t="shared" si="4"/>
        <v>71.631258077682787</v>
      </c>
      <c r="J21">
        <f t="shared" si="5"/>
        <v>13.74411379208874</v>
      </c>
    </row>
    <row r="22" spans="1:10" x14ac:dyDescent="0.25">
      <c r="A22" s="3" t="s">
        <v>60</v>
      </c>
      <c r="B22" s="5">
        <v>-75</v>
      </c>
      <c r="D22">
        <v>7</v>
      </c>
      <c r="E22" t="str">
        <f t="shared" si="0"/>
        <v>7:00</v>
      </c>
      <c r="F22">
        <f t="shared" si="1"/>
        <v>6.7933333333333339</v>
      </c>
      <c r="G22">
        <f t="shared" si="2"/>
        <v>6.7153604137724807</v>
      </c>
      <c r="H22">
        <f t="shared" si="3"/>
        <v>1.7580772451762781</v>
      </c>
      <c r="I22">
        <f t="shared" si="4"/>
        <v>74.82907960177053</v>
      </c>
      <c r="J22">
        <f t="shared" si="5"/>
        <v>19.956309118526409</v>
      </c>
    </row>
    <row r="23" spans="1:10" x14ac:dyDescent="0.25">
      <c r="A23" s="3" t="s">
        <v>61</v>
      </c>
      <c r="B23" s="5">
        <v>-90</v>
      </c>
      <c r="D23">
        <v>7.5</v>
      </c>
      <c r="E23" t="str">
        <f t="shared" si="0"/>
        <v>7:30</v>
      </c>
      <c r="F23">
        <f t="shared" si="1"/>
        <v>7.2933333333333339</v>
      </c>
      <c r="G23">
        <f t="shared" si="2"/>
        <v>7.2153604137724807</v>
      </c>
      <c r="H23">
        <f t="shared" si="3"/>
        <v>1.8889769390758528</v>
      </c>
      <c r="I23">
        <f t="shared" si="4"/>
        <v>77.942098275239942</v>
      </c>
      <c r="J23">
        <f t="shared" si="5"/>
        <v>26.261967170094042</v>
      </c>
    </row>
    <row r="24" spans="1:10" x14ac:dyDescent="0.25">
      <c r="A24" s="3" t="s">
        <v>62</v>
      </c>
      <c r="B24" s="5">
        <v>-105</v>
      </c>
      <c r="D24">
        <v>8</v>
      </c>
      <c r="E24" t="str">
        <f t="shared" si="0"/>
        <v>8:00</v>
      </c>
      <c r="F24">
        <f t="shared" si="1"/>
        <v>7.7933333333333339</v>
      </c>
      <c r="G24">
        <f t="shared" si="2"/>
        <v>7.7153604137724807</v>
      </c>
      <c r="H24">
        <f t="shared" si="3"/>
        <v>2.0198766329754276</v>
      </c>
      <c r="I24">
        <f t="shared" si="4"/>
        <v>81.038565093817169</v>
      </c>
      <c r="J24">
        <f t="shared" si="5"/>
        <v>32.640938436677693</v>
      </c>
    </row>
    <row r="25" spans="1:10" x14ac:dyDescent="0.25">
      <c r="A25" s="3" t="s">
        <v>63</v>
      </c>
      <c r="B25" s="5">
        <v>-120</v>
      </c>
      <c r="D25">
        <v>8.5</v>
      </c>
      <c r="E25" t="str">
        <f t="shared" si="0"/>
        <v>8:30</v>
      </c>
      <c r="F25">
        <f t="shared" si="1"/>
        <v>8.293333333333333</v>
      </c>
      <c r="G25">
        <f t="shared" si="2"/>
        <v>8.2153604137724798</v>
      </c>
      <c r="H25">
        <f t="shared" si="3"/>
        <v>2.1507763268750022</v>
      </c>
      <c r="I25">
        <f t="shared" si="4"/>
        <v>84.200969440259058</v>
      </c>
      <c r="J25">
        <f t="shared" si="5"/>
        <v>39.074864549365238</v>
      </c>
    </row>
    <row r="26" spans="1:10" x14ac:dyDescent="0.25">
      <c r="A26" s="3" t="s">
        <v>64</v>
      </c>
      <c r="B26" s="5">
        <v>-135</v>
      </c>
      <c r="D26">
        <v>9</v>
      </c>
      <c r="E26" t="str">
        <f t="shared" si="0"/>
        <v>9:00</v>
      </c>
      <c r="F26">
        <f t="shared" si="1"/>
        <v>8.793333333333333</v>
      </c>
      <c r="G26">
        <f t="shared" si="2"/>
        <v>8.7153604137724798</v>
      </c>
      <c r="H26">
        <f t="shared" si="3"/>
        <v>2.2816760207745768</v>
      </c>
      <c r="I26">
        <f t="shared" si="4"/>
        <v>87.540657095615899</v>
      </c>
      <c r="J26">
        <f t="shared" si="5"/>
        <v>45.545574032443668</v>
      </c>
    </row>
    <row r="27" spans="1:10" x14ac:dyDescent="0.25">
      <c r="A27" s="3" t="s">
        <v>65</v>
      </c>
      <c r="B27" s="5">
        <v>-150</v>
      </c>
      <c r="D27">
        <v>9.5</v>
      </c>
      <c r="E27" t="str">
        <f t="shared" si="0"/>
        <v>9:30</v>
      </c>
      <c r="F27">
        <f t="shared" si="1"/>
        <v>9.293333333333333</v>
      </c>
      <c r="G27">
        <f t="shared" si="2"/>
        <v>9.2153604137724798</v>
      </c>
      <c r="H27">
        <f t="shared" si="3"/>
        <v>2.4125757146741513</v>
      </c>
      <c r="I27">
        <f t="shared" si="4"/>
        <v>91.226212798943649</v>
      </c>
      <c r="J27">
        <f t="shared" si="5"/>
        <v>52.032669856233852</v>
      </c>
    </row>
    <row r="28" spans="1:10" x14ac:dyDescent="0.25">
      <c r="A28" s="8" t="s">
        <v>66</v>
      </c>
      <c r="B28" s="9">
        <v>-165</v>
      </c>
      <c r="D28">
        <v>10</v>
      </c>
      <c r="E28" t="str">
        <f t="shared" si="0"/>
        <v>10:00</v>
      </c>
      <c r="F28">
        <f t="shared" si="1"/>
        <v>9.793333333333333</v>
      </c>
      <c r="G28">
        <f t="shared" si="2"/>
        <v>9.7153604137724798</v>
      </c>
      <c r="H28">
        <f t="shared" si="3"/>
        <v>2.5434754085737263</v>
      </c>
      <c r="I28">
        <f t="shared" si="4"/>
        <v>95.544843542122408</v>
      </c>
      <c r="J28">
        <f t="shared" si="5"/>
        <v>58.508916284373825</v>
      </c>
    </row>
    <row r="29" spans="1:10" x14ac:dyDescent="0.25">
      <c r="D29">
        <v>10.5</v>
      </c>
      <c r="E29" t="str">
        <f t="shared" si="0"/>
        <v>10:30</v>
      </c>
      <c r="F29">
        <f t="shared" si="1"/>
        <v>10.293333333333333</v>
      </c>
      <c r="G29">
        <f t="shared" si="2"/>
        <v>10.21536041377248</v>
      </c>
      <c r="H29">
        <f t="shared" si="3"/>
        <v>2.6743751024733009</v>
      </c>
      <c r="I29">
        <f t="shared" si="4"/>
        <v>101.05252637758888</v>
      </c>
      <c r="J29">
        <f t="shared" si="5"/>
        <v>64.929339103132051</v>
      </c>
    </row>
    <row r="30" spans="1:10" x14ac:dyDescent="0.25">
      <c r="A30" s="55" t="s">
        <v>7</v>
      </c>
      <c r="B30" s="56"/>
      <c r="D30">
        <v>11</v>
      </c>
      <c r="E30" t="str">
        <f t="shared" si="0"/>
        <v>11:00</v>
      </c>
      <c r="F30">
        <f t="shared" si="1"/>
        <v>10.793333333333333</v>
      </c>
      <c r="G30">
        <f t="shared" si="2"/>
        <v>10.71536041377248</v>
      </c>
      <c r="H30">
        <f t="shared" si="3"/>
        <v>2.8052747963728755</v>
      </c>
      <c r="I30">
        <f t="shared" si="4"/>
        <v>108.99974612730996</v>
      </c>
      <c r="J30">
        <f t="shared" si="5"/>
        <v>71.199602703274735</v>
      </c>
    </row>
    <row r="31" spans="1:10" x14ac:dyDescent="0.25">
      <c r="A31" s="3" t="s">
        <v>67</v>
      </c>
      <c r="B31" s="5">
        <v>1</v>
      </c>
      <c r="D31">
        <v>11.5</v>
      </c>
      <c r="E31" t="str">
        <f t="shared" si="0"/>
        <v>11:30</v>
      </c>
      <c r="F31">
        <f t="shared" si="1"/>
        <v>11.293333333333333</v>
      </c>
      <c r="G31">
        <f t="shared" si="2"/>
        <v>11.21536041377248</v>
      </c>
      <c r="H31">
        <f t="shared" si="3"/>
        <v>2.9361744902724505</v>
      </c>
      <c r="I31">
        <f t="shared" si="4"/>
        <v>122.74635322575186</v>
      </c>
      <c r="J31">
        <f t="shared" si="5"/>
        <v>77.06015465194983</v>
      </c>
    </row>
    <row r="32" spans="1:10" x14ac:dyDescent="0.25">
      <c r="A32" s="8" t="s">
        <v>8</v>
      </c>
      <c r="B32" s="9">
        <v>0</v>
      </c>
      <c r="D32">
        <v>12</v>
      </c>
      <c r="E32" t="str">
        <f t="shared" si="0"/>
        <v>12:00</v>
      </c>
      <c r="F32">
        <f t="shared" si="1"/>
        <v>11.793333333333333</v>
      </c>
      <c r="G32">
        <f t="shared" si="2"/>
        <v>11.71536041377248</v>
      </c>
      <c r="H32">
        <f t="shared" si="3"/>
        <v>3.067074184172025</v>
      </c>
      <c r="I32">
        <f t="shared" si="4"/>
        <v>152.05361761218307</v>
      </c>
      <c r="J32">
        <f t="shared" si="5"/>
        <v>81.565249349922652</v>
      </c>
    </row>
    <row r="33" spans="1:10" x14ac:dyDescent="0.25">
      <c r="D33">
        <v>12.5</v>
      </c>
      <c r="E33" t="str">
        <f t="shared" si="0"/>
        <v>12:30</v>
      </c>
      <c r="F33">
        <f t="shared" si="1"/>
        <v>12.293333333333333</v>
      </c>
      <c r="G33">
        <f t="shared" si="2"/>
        <v>12.21536041377248</v>
      </c>
      <c r="H33">
        <f t="shared" si="3"/>
        <v>3.1979738780715996</v>
      </c>
      <c r="I33">
        <f t="shared" si="4"/>
        <v>201.79407000124334</v>
      </c>
      <c r="J33">
        <f t="shared" si="5"/>
        <v>81.94382180656504</v>
      </c>
    </row>
    <row r="34" spans="1:10" x14ac:dyDescent="0.25">
      <c r="A34" s="55" t="s">
        <v>9</v>
      </c>
      <c r="B34" s="56"/>
      <c r="D34">
        <v>13</v>
      </c>
      <c r="E34" t="str">
        <f t="shared" si="0"/>
        <v>13:00</v>
      </c>
      <c r="F34">
        <f t="shared" si="1"/>
        <v>12.793333333333333</v>
      </c>
      <c r="G34">
        <f t="shared" si="2"/>
        <v>12.71536041377248</v>
      </c>
      <c r="H34">
        <f t="shared" si="3"/>
        <v>3.3288735719711746</v>
      </c>
      <c r="I34">
        <f t="shared" si="4"/>
        <v>234.46908192746497</v>
      </c>
      <c r="J34">
        <f t="shared" si="5"/>
        <v>77.804433481033854</v>
      </c>
    </row>
    <row r="35" spans="1:10" x14ac:dyDescent="0.25">
      <c r="A35" s="3" t="s">
        <v>10</v>
      </c>
      <c r="B35" s="5">
        <v>0.5</v>
      </c>
      <c r="D35">
        <v>13.5</v>
      </c>
      <c r="E35" t="str">
        <f t="shared" si="0"/>
        <v>13:30</v>
      </c>
      <c r="F35">
        <f t="shared" si="1"/>
        <v>13.293333333333333</v>
      </c>
      <c r="G35">
        <f t="shared" si="2"/>
        <v>13.21536041377248</v>
      </c>
      <c r="H35">
        <f t="shared" si="3"/>
        <v>3.4597732658707492</v>
      </c>
      <c r="I35">
        <f t="shared" si="4"/>
        <v>249.56604042254054</v>
      </c>
      <c r="J35">
        <f t="shared" si="5"/>
        <v>72.045972886961906</v>
      </c>
    </row>
    <row r="36" spans="1:10" x14ac:dyDescent="0.25">
      <c r="A36" s="3" t="s">
        <v>68</v>
      </c>
      <c r="B36" s="5">
        <v>1</v>
      </c>
      <c r="D36">
        <v>14</v>
      </c>
      <c r="E36" t="str">
        <f t="shared" si="0"/>
        <v>14:00</v>
      </c>
      <c r="F36">
        <f t="shared" si="1"/>
        <v>13.793333333333333</v>
      </c>
      <c r="G36">
        <f t="shared" si="2"/>
        <v>13.71536041377248</v>
      </c>
      <c r="H36">
        <f t="shared" si="3"/>
        <v>3.5906729597703237</v>
      </c>
      <c r="I36">
        <f t="shared" si="4"/>
        <v>258.03504267837337</v>
      </c>
      <c r="J36">
        <f t="shared" si="5"/>
        <v>65.810320392436125</v>
      </c>
    </row>
    <row r="37" spans="1:10" x14ac:dyDescent="0.25">
      <c r="A37" s="8" t="s">
        <v>69</v>
      </c>
      <c r="B37" s="9">
        <v>2</v>
      </c>
      <c r="D37">
        <v>14.5</v>
      </c>
      <c r="E37" t="str">
        <f t="shared" si="0"/>
        <v>14:30</v>
      </c>
      <c r="F37">
        <f t="shared" si="1"/>
        <v>14.293333333333333</v>
      </c>
      <c r="G37">
        <f t="shared" si="2"/>
        <v>14.21536041377248</v>
      </c>
      <c r="H37">
        <f t="shared" si="3"/>
        <v>3.7215726536698988</v>
      </c>
      <c r="I37">
        <f t="shared" si="4"/>
        <v>263.7809074961591</v>
      </c>
      <c r="J37">
        <f t="shared" si="5"/>
        <v>59.403235392738161</v>
      </c>
    </row>
    <row r="38" spans="1:10" x14ac:dyDescent="0.25">
      <c r="D38">
        <v>15</v>
      </c>
      <c r="E38" t="str">
        <f t="shared" si="0"/>
        <v>15:00</v>
      </c>
      <c r="F38">
        <f t="shared" si="1"/>
        <v>14.793333333333333</v>
      </c>
      <c r="G38">
        <f t="shared" si="2"/>
        <v>14.71536041377248</v>
      </c>
      <c r="H38">
        <f t="shared" si="3"/>
        <v>3.8524723475694733</v>
      </c>
      <c r="I38">
        <f t="shared" si="4"/>
        <v>268.22191750690712</v>
      </c>
      <c r="J38">
        <f t="shared" si="5"/>
        <v>52.931412453368978</v>
      </c>
    </row>
    <row r="39" spans="1:10" x14ac:dyDescent="0.25">
      <c r="D39">
        <v>15.5</v>
      </c>
      <c r="E39" t="str">
        <f t="shared" si="0"/>
        <v>15:30</v>
      </c>
      <c r="F39">
        <f t="shared" si="1"/>
        <v>15.293333333333333</v>
      </c>
      <c r="G39">
        <f t="shared" si="2"/>
        <v>15.21536041377248</v>
      </c>
      <c r="H39">
        <f t="shared" si="3"/>
        <v>3.9833720414690479</v>
      </c>
      <c r="I39">
        <f t="shared" si="4"/>
        <v>271.97417359498291</v>
      </c>
      <c r="J39">
        <f t="shared" si="5"/>
        <v>46.443952812844735</v>
      </c>
    </row>
    <row r="40" spans="1:10" x14ac:dyDescent="0.25">
      <c r="D40">
        <v>16</v>
      </c>
      <c r="E40" t="str">
        <f t="shared" si="0"/>
        <v>16:00</v>
      </c>
      <c r="F40">
        <f t="shared" si="1"/>
        <v>15.793333333333333</v>
      </c>
      <c r="G40">
        <f t="shared" si="2"/>
        <v>15.71536041377248</v>
      </c>
      <c r="H40">
        <f t="shared" si="3"/>
        <v>4.1142717353686225</v>
      </c>
      <c r="I40">
        <f t="shared" si="4"/>
        <v>275.34990667768523</v>
      </c>
      <c r="J40">
        <f t="shared" si="5"/>
        <v>39.969664608844077</v>
      </c>
    </row>
    <row r="41" spans="1:10" x14ac:dyDescent="0.25">
      <c r="D41">
        <v>16.5</v>
      </c>
      <c r="E41" t="str">
        <f t="shared" si="0"/>
        <v>16:30</v>
      </c>
      <c r="F41">
        <f t="shared" si="1"/>
        <v>16.293333333333333</v>
      </c>
      <c r="G41">
        <f t="shared" si="2"/>
        <v>16.21536041377248</v>
      </c>
      <c r="H41">
        <f t="shared" si="3"/>
        <v>4.2451714292681979</v>
      </c>
      <c r="I41">
        <f t="shared" si="4"/>
        <v>278.52932254820757</v>
      </c>
      <c r="J41">
        <f t="shared" si="5"/>
        <v>33.529538070591485</v>
      </c>
    </row>
    <row r="42" spans="1:10" x14ac:dyDescent="0.25">
      <c r="D42">
        <v>17</v>
      </c>
      <c r="E42" t="str">
        <f t="shared" si="0"/>
        <v>17:00</v>
      </c>
      <c r="F42">
        <f t="shared" si="1"/>
        <v>16.793333333333333</v>
      </c>
      <c r="G42">
        <f t="shared" si="2"/>
        <v>16.71536041377248</v>
      </c>
      <c r="H42">
        <f t="shared" si="3"/>
        <v>4.3760711231677725</v>
      </c>
      <c r="I42">
        <f t="shared" si="4"/>
        <v>281.62954287756321</v>
      </c>
      <c r="J42">
        <f t="shared" si="5"/>
        <v>27.141879876836995</v>
      </c>
    </row>
    <row r="43" spans="1:10" x14ac:dyDescent="0.25">
      <c r="D43">
        <v>17.5</v>
      </c>
      <c r="E43" t="str">
        <f t="shared" si="0"/>
        <v>17:30</v>
      </c>
      <c r="F43">
        <f t="shared" si="1"/>
        <v>17.293333333333333</v>
      </c>
      <c r="G43">
        <f t="shared" si="2"/>
        <v>17.21536041377248</v>
      </c>
      <c r="H43">
        <f t="shared" si="3"/>
        <v>4.506970817067347</v>
      </c>
      <c r="I43">
        <f t="shared" si="4"/>
        <v>284.73597931823952</v>
      </c>
      <c r="J43">
        <f t="shared" si="5"/>
        <v>20.824916395472101</v>
      </c>
    </row>
    <row r="44" spans="1:10" x14ac:dyDescent="0.25">
      <c r="D44">
        <v>18</v>
      </c>
      <c r="E44" t="str">
        <f t="shared" si="0"/>
        <v>18:00</v>
      </c>
      <c r="F44">
        <f t="shared" si="1"/>
        <v>17.793333333333333</v>
      </c>
      <c r="G44">
        <f t="shared" si="2"/>
        <v>17.71536041377248</v>
      </c>
      <c r="H44">
        <f t="shared" si="3"/>
        <v>4.6378705109669216</v>
      </c>
      <c r="I44">
        <f t="shared" si="4"/>
        <v>287.91826119578468</v>
      </c>
      <c r="J44">
        <f t="shared" si="5"/>
        <v>14.598465951173093</v>
      </c>
    </row>
    <row r="45" spans="1:10" x14ac:dyDescent="0.25">
      <c r="D45">
        <v>18.5</v>
      </c>
      <c r="E45" t="str">
        <f t="shared" si="0"/>
        <v>18:30</v>
      </c>
      <c r="F45">
        <f t="shared" si="1"/>
        <v>18.293333333333333</v>
      </c>
      <c r="G45">
        <f t="shared" si="2"/>
        <v>18.21536041377248</v>
      </c>
      <c r="H45">
        <f t="shared" si="3"/>
        <v>4.7687702048664962</v>
      </c>
      <c r="I45">
        <f t="shared" si="4"/>
        <v>291.23918696190208</v>
      </c>
      <c r="J45">
        <f t="shared" si="5"/>
        <v>8.4853107813973505</v>
      </c>
    </row>
    <row r="46" spans="1:10" x14ac:dyDescent="0.25">
      <c r="D46">
        <v>19</v>
      </c>
      <c r="E46" t="str">
        <f t="shared" si="0"/>
        <v>19:00</v>
      </c>
      <c r="F46">
        <f t="shared" si="1"/>
        <v>18.793333333333333</v>
      </c>
      <c r="G46">
        <f t="shared" si="2"/>
        <v>18.71536041377248</v>
      </c>
      <c r="H46">
        <f t="shared" si="3"/>
        <v>4.8996698987660707</v>
      </c>
      <c r="I46">
        <f t="shared" si="4"/>
        <v>294.76025188180824</v>
      </c>
      <c r="J46">
        <f t="shared" si="5"/>
        <v>2.5125643575834657</v>
      </c>
    </row>
    <row r="47" spans="1:10" x14ac:dyDescent="0.25">
      <c r="D47">
        <v>19.5</v>
      </c>
      <c r="E47" t="str">
        <f t="shared" si="0"/>
        <v>19:30</v>
      </c>
      <c r="F47">
        <f t="shared" si="1"/>
        <v>19.293333333333333</v>
      </c>
      <c r="G47">
        <f t="shared" si="2"/>
        <v>19.21536041377248</v>
      </c>
      <c r="H47">
        <f t="shared" si="3"/>
        <v>5.0305695926656462</v>
      </c>
      <c r="I47">
        <f t="shared" si="4"/>
        <v>298.5452905190466</v>
      </c>
      <c r="J47">
        <f t="shared" si="5"/>
        <v>-3.2868019893145748</v>
      </c>
    </row>
    <row r="48" spans="1:10" x14ac:dyDescent="0.25">
      <c r="D48">
        <v>20</v>
      </c>
      <c r="E48" t="str">
        <f t="shared" si="0"/>
        <v>20:00</v>
      </c>
      <c r="F48">
        <f t="shared" si="1"/>
        <v>19.793333333333333</v>
      </c>
      <c r="G48">
        <f t="shared" si="2"/>
        <v>19.71536041377248</v>
      </c>
      <c r="H48">
        <f t="shared" si="3"/>
        <v>5.1614692865652207</v>
      </c>
      <c r="I48">
        <f t="shared" si="4"/>
        <v>302.6627922525808</v>
      </c>
      <c r="J48">
        <f t="shared" si="5"/>
        <v>-8.8721786278067931</v>
      </c>
    </row>
    <row r="49" spans="4:10" x14ac:dyDescent="0.25">
      <c r="D49">
        <v>20.5</v>
      </c>
      <c r="E49" t="str">
        <f t="shared" si="0"/>
        <v>20:30</v>
      </c>
      <c r="F49">
        <f t="shared" si="1"/>
        <v>20.293333333333333</v>
      </c>
      <c r="G49">
        <f t="shared" si="2"/>
        <v>20.21536041377248</v>
      </c>
      <c r="H49">
        <f t="shared" si="3"/>
        <v>5.2923689804647953</v>
      </c>
      <c r="I49">
        <f t="shared" si="4"/>
        <v>307.18681072283192</v>
      </c>
      <c r="J49">
        <f t="shared" si="5"/>
        <v>-14.193260361268145</v>
      </c>
    </row>
    <row r="50" spans="4:10" x14ac:dyDescent="0.25">
      <c r="D50">
        <v>21</v>
      </c>
      <c r="E50" t="str">
        <f t="shared" si="0"/>
        <v>21:00</v>
      </c>
      <c r="F50">
        <f t="shared" si="1"/>
        <v>20.793333333333333</v>
      </c>
      <c r="G50">
        <f t="shared" si="2"/>
        <v>20.71536041377248</v>
      </c>
      <c r="H50">
        <f t="shared" si="3"/>
        <v>5.4232686743643699</v>
      </c>
      <c r="I50">
        <f t="shared" si="4"/>
        <v>312.19580129733788</v>
      </c>
      <c r="J50">
        <f t="shared" si="5"/>
        <v>-19.187814370603348</v>
      </c>
    </row>
    <row r="51" spans="4:10" x14ac:dyDescent="0.25">
      <c r="D51">
        <v>21.5</v>
      </c>
      <c r="E51" t="str">
        <f t="shared" si="0"/>
        <v>21:30</v>
      </c>
      <c r="F51">
        <f t="shared" si="1"/>
        <v>21.293333333333333</v>
      </c>
      <c r="G51">
        <f t="shared" si="2"/>
        <v>21.21536041377248</v>
      </c>
      <c r="H51">
        <f t="shared" si="3"/>
        <v>5.5541683682639444</v>
      </c>
      <c r="I51">
        <f t="shared" si="4"/>
        <v>317.76808529055279</v>
      </c>
      <c r="J51">
        <f t="shared" si="5"/>
        <v>-23.779613959376398</v>
      </c>
    </row>
    <row r="52" spans="4:10" x14ac:dyDescent="0.25">
      <c r="D52">
        <v>22</v>
      </c>
      <c r="E52" t="str">
        <f t="shared" si="0"/>
        <v>22:00</v>
      </c>
      <c r="F52">
        <f t="shared" si="1"/>
        <v>21.793333333333333</v>
      </c>
      <c r="G52">
        <f t="shared" si="2"/>
        <v>21.71536041377248</v>
      </c>
      <c r="H52">
        <f t="shared" si="3"/>
        <v>5.685068062163519</v>
      </c>
      <c r="I52">
        <f t="shared" si="4"/>
        <v>323.9720904880121</v>
      </c>
      <c r="J52">
        <f t="shared" si="5"/>
        <v>-27.877292040867058</v>
      </c>
    </row>
    <row r="53" spans="4:10" x14ac:dyDescent="0.25">
      <c r="D53">
        <v>22.5</v>
      </c>
      <c r="E53" t="str">
        <f t="shared" si="0"/>
        <v>22:30</v>
      </c>
      <c r="F53">
        <f t="shared" si="1"/>
        <v>22.293333333333333</v>
      </c>
      <c r="G53">
        <f t="shared" si="2"/>
        <v>22.21536041377248</v>
      </c>
      <c r="H53">
        <f t="shared" si="3"/>
        <v>5.8159677560630945</v>
      </c>
      <c r="I53">
        <f t="shared" si="4"/>
        <v>330.8496285341642</v>
      </c>
      <c r="J53">
        <f t="shared" si="5"/>
        <v>-31.375456234440978</v>
      </c>
    </row>
    <row r="54" spans="4:10" x14ac:dyDescent="0.25">
      <c r="D54">
        <v>23</v>
      </c>
      <c r="E54" t="str">
        <f t="shared" si="0"/>
        <v>23:00</v>
      </c>
      <c r="F54">
        <f t="shared" si="1"/>
        <v>22.793333333333333</v>
      </c>
      <c r="G54">
        <f t="shared" si="2"/>
        <v>22.71536041377248</v>
      </c>
      <c r="H54">
        <f t="shared" si="3"/>
        <v>5.946867449962669</v>
      </c>
      <c r="I54">
        <f t="shared" si="4"/>
        <v>338.39243072995259</v>
      </c>
      <c r="J54">
        <f t="shared" si="5"/>
        <v>-34.159947867723332</v>
      </c>
    </row>
    <row r="55" spans="4:10" x14ac:dyDescent="0.25">
      <c r="D55">
        <v>23.5</v>
      </c>
      <c r="E55" t="str">
        <f t="shared" si="0"/>
        <v>23:30</v>
      </c>
      <c r="F55">
        <f t="shared" si="1"/>
        <v>23.293333333333333</v>
      </c>
      <c r="G55">
        <f t="shared" si="2"/>
        <v>23.21536041377248</v>
      </c>
      <c r="H55">
        <f t="shared" si="3"/>
        <v>6.0777671438622436</v>
      </c>
      <c r="I55">
        <f t="shared" si="4"/>
        <v>346.51722231591702</v>
      </c>
      <c r="J55">
        <f t="shared" si="5"/>
        <v>-36.118963823149166</v>
      </c>
    </row>
    <row r="56" spans="4:10" x14ac:dyDescent="0.25">
      <c r="D56" s="21">
        <f>$E$56*24</f>
        <v>9.6000000000000014</v>
      </c>
      <c r="E56" s="20">
        <f>【表2】太阳位置计算器!A25</f>
        <v>0.4</v>
      </c>
      <c r="F56">
        <f t="shared" ref="F56" si="9">D56+$I$4</f>
        <v>9.3933333333333344</v>
      </c>
      <c r="G56">
        <f t="shared" ref="G56" si="10">D56+$I$4+$M$4/60</f>
        <v>9.3153604137724813</v>
      </c>
      <c r="H56">
        <f t="shared" ref="H56" si="11">IF($E$4=1,RADIANS(15*G56),RADIANS(15*F56))</f>
        <v>2.4387556534540669</v>
      </c>
      <c r="I56">
        <f t="shared" ref="I56" si="12">MOD(DEGREES(ATAN2(COS($K$4)*COS(H56)*SIN($I$5)+SIN($K$4)*COS($I$5),COS($K$4)*SIN(H56))),360)</f>
        <v>92.026833069345031</v>
      </c>
      <c r="J56">
        <f t="shared" ref="J56" si="13">DEGREES(ASIN(SIN($K$4)*SIN($I$5)-COS($K$4)*COS(H56)*COS($I$5)))</f>
        <v>53.329864952469578</v>
      </c>
    </row>
  </sheetData>
  <mergeCells count="6">
    <mergeCell ref="I1:L1"/>
    <mergeCell ref="A3:B3"/>
    <mergeCell ref="A30:B30"/>
    <mergeCell ref="A34:B34"/>
    <mergeCell ref="A1:G2"/>
    <mergeCell ref="I2:L2"/>
  </mergeCells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selection activeCell="I2" sqref="I2:L2"/>
    </sheetView>
  </sheetViews>
  <sheetFormatPr defaultColWidth="9" defaultRowHeight="14.4" x14ac:dyDescent="0.25"/>
  <cols>
    <col min="1" max="1" width="11.88671875" customWidth="1"/>
    <col min="2" max="2" width="11.6640625" customWidth="1"/>
    <col min="3" max="4" width="11.6640625" bestFit="1" customWidth="1"/>
    <col min="5" max="5" width="13.88671875" bestFit="1" customWidth="1"/>
  </cols>
  <sheetData>
    <row r="1" spans="1:12" x14ac:dyDescent="0.25">
      <c r="A1" s="57" t="s">
        <v>25</v>
      </c>
      <c r="B1" s="57"/>
      <c r="C1" s="57"/>
      <c r="D1" s="57"/>
      <c r="E1" s="57"/>
      <c r="F1" s="57"/>
      <c r="G1" s="57"/>
      <c r="I1" s="38" t="s">
        <v>26</v>
      </c>
      <c r="J1" s="38"/>
      <c r="K1" s="38"/>
      <c r="L1" s="38"/>
    </row>
    <row r="2" spans="1:12" x14ac:dyDescent="0.25">
      <c r="A2" s="57"/>
      <c r="B2" s="57"/>
      <c r="C2" s="57"/>
      <c r="D2" s="57"/>
      <c r="E2" s="57"/>
      <c r="F2" s="57"/>
      <c r="G2" s="57"/>
      <c r="I2" s="38" t="s">
        <v>116</v>
      </c>
      <c r="J2" s="38"/>
      <c r="K2" s="38"/>
      <c r="L2" s="38"/>
    </row>
    <row r="3" spans="1:12" x14ac:dyDescent="0.25">
      <c r="A3" s="1" t="s">
        <v>86</v>
      </c>
      <c r="B3" s="2">
        <f>【表2】太阳位置计算器!C9</f>
        <v>45846</v>
      </c>
      <c r="C3" s="1" t="s">
        <v>87</v>
      </c>
      <c r="D3">
        <f>YEAR(B3)</f>
        <v>2025</v>
      </c>
      <c r="E3" s="1" t="s">
        <v>88</v>
      </c>
      <c r="F3">
        <f>MONTH(B3)</f>
        <v>7</v>
      </c>
    </row>
    <row r="4" spans="1:12" x14ac:dyDescent="0.25">
      <c r="A4" s="1" t="s">
        <v>126</v>
      </c>
      <c r="B4">
        <f>【表3】处理过程壹!$G$4</f>
        <v>116.9</v>
      </c>
      <c r="C4" s="1" t="s">
        <v>90</v>
      </c>
      <c r="D4">
        <f>IF(F3&lt;=2, YEAR(B3)-1, YEAR(B3))</f>
        <v>2025</v>
      </c>
      <c r="E4" s="1" t="s">
        <v>91</v>
      </c>
      <c r="F4">
        <f>IF(F3&lt;=2, MONTH(B3)+12, MONTH(B3))</f>
        <v>7</v>
      </c>
      <c r="G4" s="1" t="s">
        <v>89</v>
      </c>
      <c r="H4">
        <f>DAY(B3)</f>
        <v>8</v>
      </c>
    </row>
    <row r="5" spans="1:12" x14ac:dyDescent="0.25">
      <c r="A5" s="1" t="s">
        <v>92</v>
      </c>
      <c r="B5">
        <f>INT(D4/100)</f>
        <v>20</v>
      </c>
      <c r="C5" s="1" t="s">
        <v>94</v>
      </c>
      <c r="D5">
        <f>2-B5+INT(B5/4)</f>
        <v>-13</v>
      </c>
      <c r="E5" s="1" t="s">
        <v>93</v>
      </c>
      <c r="F5">
        <f>INT(365.25*(D4+4716)) + INT(30.6001*(F4+1)) + H4 + D5 - 1524</f>
        <v>2460865</v>
      </c>
    </row>
    <row r="6" spans="1:12" x14ac:dyDescent="0.25">
      <c r="A6" s="1" t="s">
        <v>95</v>
      </c>
      <c r="B6">
        <v>2451550.1</v>
      </c>
      <c r="C6" s="1" t="s">
        <v>96</v>
      </c>
      <c r="D6">
        <v>29.53059</v>
      </c>
      <c r="E6" s="1" t="s">
        <v>97</v>
      </c>
      <c r="F6">
        <f>MOD(F5 - B4/360 - B6, D6)</f>
        <v>12.439427777854316</v>
      </c>
      <c r="G6" s="1" t="s">
        <v>107</v>
      </c>
      <c r="H6" t="str">
        <f>VLOOKUP(F6,A9:B17,2,TRUE)</f>
        <v>盈凸月</v>
      </c>
    </row>
    <row r="8" spans="1:12" x14ac:dyDescent="0.25">
      <c r="A8" s="65" t="s">
        <v>106</v>
      </c>
      <c r="B8" s="66"/>
      <c r="D8" s="67" t="s">
        <v>115</v>
      </c>
      <c r="E8" s="67"/>
    </row>
    <row r="9" spans="1:12" x14ac:dyDescent="0.25">
      <c r="A9" s="27">
        <v>0</v>
      </c>
      <c r="B9" s="28" t="s">
        <v>98</v>
      </c>
      <c r="D9" s="30" t="s">
        <v>112</v>
      </c>
      <c r="E9" s="31" t="str">
        <f>TEXT(MOD(6 + $F$6*0.813 -【表3】处理过程壹!I4, 24) / 24, "h:mm")</f>
        <v>16:19</v>
      </c>
    </row>
    <row r="10" spans="1:12" x14ac:dyDescent="0.25">
      <c r="A10" s="27">
        <v>1.02</v>
      </c>
      <c r="B10" s="28" t="s">
        <v>114</v>
      </c>
      <c r="D10" s="30" t="s">
        <v>113</v>
      </c>
      <c r="E10" s="31" t="str">
        <f>TEXT(MOD(18 + $F$6*0.813 -【表3】处理过程壹!I4, 24) / 24, "h:mm")</f>
        <v>4:19</v>
      </c>
    </row>
    <row r="11" spans="1:12" x14ac:dyDescent="0.25">
      <c r="A11" s="27">
        <v>6.37</v>
      </c>
      <c r="B11" s="27" t="s">
        <v>99</v>
      </c>
      <c r="D11" s="58" t="s">
        <v>121</v>
      </c>
      <c r="E11" s="59"/>
      <c r="F11" s="60"/>
      <c r="G11" s="60"/>
      <c r="H11" s="61"/>
    </row>
    <row r="12" spans="1:12" x14ac:dyDescent="0.25">
      <c r="A12" s="27">
        <v>8.4</v>
      </c>
      <c r="B12" s="27" t="s">
        <v>100</v>
      </c>
      <c r="D12" s="62"/>
      <c r="E12" s="63"/>
      <c r="F12" s="63"/>
      <c r="G12" s="63"/>
      <c r="H12" s="64"/>
    </row>
    <row r="13" spans="1:12" x14ac:dyDescent="0.25">
      <c r="A13" s="27">
        <v>13.75</v>
      </c>
      <c r="B13" s="27" t="s">
        <v>101</v>
      </c>
    </row>
    <row r="14" spans="1:12" x14ac:dyDescent="0.25">
      <c r="A14" s="27">
        <v>15.78</v>
      </c>
      <c r="B14" s="27" t="s">
        <v>102</v>
      </c>
    </row>
    <row r="15" spans="1:12" x14ac:dyDescent="0.25">
      <c r="A15" s="27">
        <v>21.13</v>
      </c>
      <c r="B15" s="27" t="s">
        <v>103</v>
      </c>
    </row>
    <row r="16" spans="1:12" x14ac:dyDescent="0.25">
      <c r="A16" s="27">
        <v>23.17</v>
      </c>
      <c r="B16" s="27" t="s">
        <v>104</v>
      </c>
    </row>
    <row r="17" spans="1:2" x14ac:dyDescent="0.25">
      <c r="A17" s="27">
        <v>28.51</v>
      </c>
      <c r="B17" s="28" t="s">
        <v>105</v>
      </c>
    </row>
  </sheetData>
  <mergeCells count="6">
    <mergeCell ref="D11:H12"/>
    <mergeCell ref="A1:G2"/>
    <mergeCell ref="I1:L1"/>
    <mergeCell ref="I2:L2"/>
    <mergeCell ref="A8:B8"/>
    <mergeCell ref="D8:E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【表1-使用说明】必读！</vt:lpstr>
      <vt:lpstr>【表2】太阳位置计算器</vt:lpstr>
      <vt:lpstr>【表3】处理过程壹</vt:lpstr>
      <vt:lpstr>【表4】处理过程贰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Funglou Gam</dc:creator>
  <cp:lastModifiedBy>Funglou Gam</cp:lastModifiedBy>
  <dcterms:created xsi:type="dcterms:W3CDTF">2023-05-12T11:15:00Z</dcterms:created>
  <dcterms:modified xsi:type="dcterms:W3CDTF">2025-09-30T10:39:26Z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